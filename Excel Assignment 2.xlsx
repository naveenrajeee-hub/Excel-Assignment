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VEENRAJ J\Documents\Assignment excel insights\"/>
    </mc:Choice>
  </mc:AlternateContent>
  <xr:revisionPtr revIDLastSave="0" documentId="13_ncr:1_{0DC8B307-4E15-4515-84E2-D163D72B9069}" xr6:coauthVersionLast="47" xr6:coauthVersionMax="47" xr10:uidLastSave="{00000000-0000-0000-0000-000000000000}"/>
  <bookViews>
    <workbookView xWindow="-110" yWindow="-110" windowWidth="19420" windowHeight="11500" activeTab="2" xr2:uid="{D58A9723-F49C-4785-BAE9-96911152EF41}"/>
  </bookViews>
  <sheets>
    <sheet name="instructions" sheetId="1" r:id="rId1"/>
    <sheet name="Data set" sheetId="4" r:id="rId2"/>
    <sheet name="Cleaned data" sheetId="2" r:id="rId3"/>
    <sheet name="Answer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M27" i="2"/>
  <c r="M29" i="2"/>
  <c r="M30" i="2"/>
  <c r="M2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B3" i="2"/>
  <c r="B2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F2" i="2"/>
  <c r="F3" i="2"/>
  <c r="M3" i="2" s="1"/>
  <c r="F4" i="2"/>
  <c r="M4" i="2" s="1"/>
  <c r="F5" i="2"/>
  <c r="M5" i="2" s="1"/>
  <c r="F6" i="2"/>
  <c r="M6" i="2" s="1"/>
  <c r="F7" i="2"/>
  <c r="M7" i="2" s="1"/>
  <c r="F8" i="2"/>
  <c r="M8" i="2" s="1"/>
  <c r="F9" i="2"/>
  <c r="M9" i="2" s="1"/>
  <c r="F10" i="2"/>
  <c r="M10" i="2" s="1"/>
  <c r="F11" i="2"/>
  <c r="M11" i="2" s="1"/>
  <c r="F12" i="2"/>
  <c r="M12" i="2" s="1"/>
  <c r="F13" i="2"/>
  <c r="M13" i="2" s="1"/>
  <c r="F14" i="2"/>
  <c r="M14" i="2" s="1"/>
  <c r="F15" i="2"/>
  <c r="M15" i="2" s="1"/>
  <c r="F16" i="2"/>
  <c r="M16" i="2" s="1"/>
  <c r="F17" i="2"/>
  <c r="M17" i="2" s="1"/>
  <c r="F18" i="2"/>
  <c r="M18" i="2" s="1"/>
  <c r="F19" i="2"/>
  <c r="M19" i="2" s="1"/>
  <c r="F20" i="2"/>
  <c r="M20" i="2" s="1"/>
  <c r="F21" i="2"/>
  <c r="M21" i="2" s="1"/>
  <c r="F22" i="2"/>
  <c r="M22" i="2" s="1"/>
  <c r="F23" i="2"/>
  <c r="M23" i="2" s="1"/>
  <c r="F24" i="2"/>
  <c r="M24" i="2" s="1"/>
  <c r="F25" i="2"/>
  <c r="M25" i="2" s="1"/>
  <c r="F26" i="2"/>
  <c r="M26" i="2" s="1"/>
  <c r="F27" i="2"/>
  <c r="F28" i="2"/>
  <c r="M28" i="2" s="1"/>
  <c r="F29" i="2"/>
  <c r="F30" i="2"/>
  <c r="F31" i="2"/>
  <c r="M31" i="2" s="1"/>
  <c r="F32" i="2"/>
  <c r="M32" i="2" s="1"/>
  <c r="I22" i="2"/>
  <c r="I23" i="2"/>
  <c r="I24" i="2"/>
  <c r="I25" i="2"/>
  <c r="I26" i="2"/>
  <c r="I27" i="2"/>
  <c r="I28" i="2"/>
  <c r="I29" i="2"/>
  <c r="I30" i="2"/>
  <c r="I31" i="2"/>
  <c r="I3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" i="2"/>
</calcChain>
</file>

<file path=xl/sharedStrings.xml><?xml version="1.0" encoding="utf-8"?>
<sst xmlns="http://schemas.openxmlformats.org/spreadsheetml/2006/main" count="343" uniqueCount="139">
  <si>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</si>
  <si>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</si>
  <si>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</si>
  <si>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</si>
  <si>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</si>
  <si>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</si>
  <si>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</si>
  <si>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</si>
  <si>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</si>
  <si>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</si>
  <si>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</si>
  <si>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</si>
  <si>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</si>
  <si>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</si>
  <si>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</si>
  <si>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</si>
  <si>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</si>
  <si>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</si>
  <si>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</si>
  <si>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</si>
  <si>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</si>
  <si>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</si>
  <si>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</si>
  <si>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</si>
  <si>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</si>
  <si>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</si>
  <si>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</si>
  <si>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</si>
  <si>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</si>
  <si>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</si>
  <si>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</si>
  <si>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</si>
  <si>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</si>
  <si>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</si>
  <si>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</si>
  <si>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</si>
  <si>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</si>
  <si>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</si>
  <si>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</si>
  <si>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</si>
  <si>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</si>
  <si>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</si>
  <si>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</si>
  <si>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</si>
  <si>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</si>
  <si>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</si>
  <si>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</si>
  <si>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</si>
  <si>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</si>
  <si>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</si>
  <si>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</si>
  <si>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</si>
  <si>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</si>
  <si>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</si>
  <si>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</si>
  <si>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</si>
  <si>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</si>
  <si>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</si>
  <si>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</si>
  <si>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</si>
  <si>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</si>
  <si>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</si>
  <si>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</si>
  <si>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</si>
  <si>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</si>
  <si>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</si>
  <si>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</si>
  <si>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</si>
  <si>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</si>
  <si>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</si>
  <si>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</si>
  <si>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</si>
  <si>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</si>
  <si>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</si>
  <si>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</si>
  <si>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</si>
  <si>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</si>
  <si>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</si>
  <si>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</si>
  <si>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</si>
  <si>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</si>
  <si>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</si>
  <si>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</si>
  <si>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</si>
  <si>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</si>
  <si>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</si>
  <si>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</si>
  <si>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</si>
  <si>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</si>
  <si>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</si>
  <si>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</si>
  <si>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</si>
  <si>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</si>
  <si>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</si>
  <si>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</si>
  <si>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</si>
  <si>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</si>
  <si>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</si>
  <si>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</si>
  <si>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</si>
  <si>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</si>
  <si>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</si>
  <si>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</si>
  <si>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</si>
  <si>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</si>
  <si>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</si>
  <si>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</si>
  <si>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</si>
  <si>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</si>
  <si>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</si>
  <si>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</si>
  <si>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</si>
  <si>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</si>
  <si>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</si>
  <si>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</si>
  <si>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</si>
  <si>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Imputed price</t>
  </si>
  <si>
    <t>Imputed Category</t>
  </si>
  <si>
    <t>Cleaned Product Name</t>
  </si>
  <si>
    <t>Mfg Date</t>
  </si>
  <si>
    <t>Country code</t>
  </si>
  <si>
    <t>Product brand</t>
  </si>
  <si>
    <t>• added new column for product name using proper function</t>
  </si>
  <si>
    <t>• One duplicate was found and removed: “Laptop” by HP with the same Product ID.</t>
  </si>
  <si>
    <t>• Now the dataset contains only unique rows</t>
  </si>
  <si>
    <t>• I have splitted data by adding two columns mfg date and country code using left and right functions</t>
  </si>
  <si>
    <t>• Merged  product name and product brand using concatenate function</t>
  </si>
  <si>
    <t xml:space="preserve">• Formatted the data type of the "Price" column to currency format. </t>
  </si>
  <si>
    <t>Full mfg date</t>
  </si>
  <si>
    <t>• created new column full mfg date and formatted to display dates in the "DD-MM-YYYY " format.</t>
  </si>
  <si>
    <t>• Applied data bar using conditional formatting in the "imputed Price" column.</t>
  </si>
  <si>
    <t>• Created a custom rule for conditional formatting in the "imputed Category" column to highlight cells where the category is "Electronics."</t>
  </si>
  <si>
    <t>• I identified the typo Electroni in the Category column.</t>
  </si>
  <si>
    <r>
      <t xml:space="preserve">• I used </t>
    </r>
    <r>
      <rPr>
        <b/>
        <sz val="14"/>
        <color theme="1"/>
        <rFont val="Times New Roman"/>
        <family val="1"/>
      </rPr>
      <t>Find and Replace</t>
    </r>
    <r>
      <rPr>
        <sz val="14"/>
        <color theme="1"/>
        <rFont val="Times New Roman"/>
        <family val="1"/>
      </rPr>
      <t xml:space="preserve"> to correct it to Electronics across both </t>
    </r>
    <r>
      <rPr>
        <b/>
        <sz val="14"/>
        <color theme="1"/>
        <rFont val="Times New Roman"/>
        <family val="1"/>
      </rPr>
      <t>Category</t>
    </r>
    <r>
      <rPr>
        <sz val="14"/>
        <color theme="1"/>
        <rFont val="Times New Roman"/>
        <family val="1"/>
      </rPr>
      <t xml:space="preserve"> and </t>
    </r>
    <r>
      <rPr>
        <b/>
        <sz val="14"/>
        <color theme="1"/>
        <rFont val="Times New Roman"/>
        <family val="1"/>
      </rPr>
      <t>Imputed Category</t>
    </r>
    <r>
      <rPr>
        <sz val="14"/>
        <color theme="1"/>
        <rFont val="Times New Roman"/>
        <family val="1"/>
      </rPr>
      <t xml:space="preserve"> columns.</t>
    </r>
  </si>
  <si>
    <r>
      <t xml:space="preserve">• I used Excel’s </t>
    </r>
    <r>
      <rPr>
        <b/>
        <sz val="14"/>
        <color theme="1"/>
        <rFont val="Times New Roman"/>
        <family val="1"/>
      </rPr>
      <t>Remove Duplicates</t>
    </r>
    <r>
      <rPr>
        <sz val="14"/>
        <color theme="1"/>
        <rFont val="Times New Roman"/>
        <family val="1"/>
      </rPr>
      <t xml:space="preserve"> feature to check for duplicate rows.</t>
    </r>
  </si>
  <si>
    <t xml:space="preserve">                         Used brand and product clues to assign logical category</t>
  </si>
  <si>
    <t xml:space="preserve">               • To handle missing categories, I created an Imputed Category column.</t>
  </si>
  <si>
    <r>
      <t xml:space="preserve">               • I used </t>
    </r>
    <r>
      <rPr>
        <b/>
        <sz val="14"/>
        <color theme="1"/>
        <rFont val="Times New Roman"/>
        <family val="1"/>
      </rPr>
      <t>AVERAGEIF</t>
    </r>
    <r>
      <rPr>
        <sz val="14"/>
        <color theme="1"/>
        <rFont val="Times New Roman"/>
        <family val="1"/>
      </rPr>
      <t xml:space="preserve"> logic to impute missing prices based on similar products within the same category or brand.</t>
    </r>
  </si>
  <si>
    <r>
      <t xml:space="preserve">             •  I created an </t>
    </r>
    <r>
      <rPr>
        <b/>
        <sz val="14"/>
        <color theme="1"/>
        <rFont val="Times New Roman"/>
        <family val="1"/>
      </rPr>
      <t>Imputed Category</t>
    </r>
    <r>
      <rPr>
        <sz val="14"/>
        <color theme="1"/>
        <rFont val="Times New Roman"/>
        <family val="1"/>
      </rPr>
      <t xml:space="preserve"> column.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</si>
</sst>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₹&quot;\ #,##0.00"/>
  </numFmts>
  <fonts count="16" x14ac:knownFonts="1">
    <font>
      <sz val="11"/>
      <color theme="1"/>
      <name val="Aptos Narrow"/>
      <family val="2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b/>
      <sz val="10"/>
      <color theme="1"/>
      <name val="Arial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4" tint="-0.249977111117893"/>
      <name val="Arial"/>
      <family val="2"/>
    </font>
    <font>
      <sz val="11"/>
      <color theme="4" tint="-0.249977111117893"/>
      <name val="Aptos Narrow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0" xfId="0" applyFont="1" applyFill="1" applyAlignment="1">
      <alignment horizontal="center"/>
    </xf>
    <xf numFmtId="0" fontId="5" fillId="3" borderId="0" xfId="0" applyFont="1" applyFill="1"/>
    <xf numFmtId="0" fontId="0" fillId="0" borderId="0" xfId="0" applyAlignment="1">
      <alignment wrapText="1"/>
    </xf>
    <xf numFmtId="0" fontId="8" fillId="0" borderId="0" xfId="0" applyFont="1"/>
    <xf numFmtId="0" fontId="7" fillId="0" borderId="0" xfId="0" applyFont="1"/>
    <xf numFmtId="0" fontId="6" fillId="2" borderId="1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0" fontId="9" fillId="2" borderId="4" xfId="0" applyNumberFormat="1" applyFont="1" applyFill="1" applyBorder="1" applyAlignment="1">
      <alignment horizontal="center"/>
    </xf>
    <xf numFmtId="0" fontId="9" fillId="2" borderId="5" xfId="0" applyNumberFormat="1" applyFont="1" applyFill="1" applyBorder="1" applyAlignment="1">
      <alignment horizontal="center"/>
    </xf>
    <xf numFmtId="168" fontId="6" fillId="2" borderId="1" xfId="0" applyNumberFormat="1" applyFont="1" applyFill="1" applyBorder="1" applyAlignment="1">
      <alignment horizontal="center"/>
    </xf>
    <xf numFmtId="14" fontId="11" fillId="2" borderId="1" xfId="0" applyNumberFormat="1" applyFont="1" applyFill="1" applyBorder="1" applyAlignment="1">
      <alignment horizontal="center"/>
    </xf>
    <xf numFmtId="0" fontId="14" fillId="0" borderId="0" xfId="0" applyFont="1"/>
    <xf numFmtId="0" fontId="14" fillId="0" borderId="0" xfId="0" applyFont="1" applyAlignment="1">
      <alignment horizontal="left" vertical="center" indent="1"/>
    </xf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14" fontId="5" fillId="0" borderId="1" xfId="0" applyNumberFormat="1" applyFont="1" applyBorder="1" applyAlignment="1">
      <alignment horizontal="center"/>
    </xf>
    <xf numFmtId="168" fontId="5" fillId="0" borderId="1" xfId="0" applyNumberFormat="1" applyFont="1" applyBorder="1" applyAlignment="1">
      <alignment horizontal="center"/>
    </xf>
    <xf numFmtId="0" fontId="12" fillId="4" borderId="3" xfId="0" applyNumberFormat="1" applyFont="1" applyFill="1" applyBorder="1" applyAlignment="1">
      <alignment horizontal="center"/>
    </xf>
    <xf numFmtId="0" fontId="10" fillId="4" borderId="2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14" fontId="5" fillId="3" borderId="1" xfId="0" applyNumberFormat="1" applyFont="1" applyFill="1" applyBorder="1" applyAlignment="1">
      <alignment horizontal="center"/>
    </xf>
    <xf numFmtId="0" fontId="12" fillId="3" borderId="3" xfId="0" applyNumberFormat="1" applyFont="1" applyFill="1" applyBorder="1" applyAlignment="1">
      <alignment horizontal="center"/>
    </xf>
    <xf numFmtId="0" fontId="12" fillId="0" borderId="3" xfId="0" applyNumberFormat="1" applyFont="1" applyBorder="1" applyAlignment="1">
      <alignment horizontal="center"/>
    </xf>
    <xf numFmtId="0" fontId="13" fillId="4" borderId="3" xfId="0" applyNumberFormat="1" applyFont="1" applyFill="1" applyBorder="1" applyAlignment="1">
      <alignment horizontal="center"/>
    </xf>
    <xf numFmtId="0" fontId="12" fillId="3" borderId="6" xfId="0" applyNumberFormat="1" applyFont="1" applyFill="1" applyBorder="1" applyAlignment="1">
      <alignment horizontal="center"/>
    </xf>
    <xf numFmtId="0" fontId="10" fillId="4" borderId="7" xfId="0" applyNumberFormat="1" applyFont="1" applyFill="1" applyBorder="1" applyAlignment="1">
      <alignment horizontal="center"/>
    </xf>
    <xf numFmtId="14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</cellXfs>
  <cellStyles count="1">
    <cellStyle name="Normal" xfId="0" builtinId="0"/>
  </cellStyles>
  <dxfs count="26">
    <dxf>
      <numFmt numFmtId="0" formatCode="General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0" formatCode="General"/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family val="2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8" formatCode="&quot;₹&quot;\ #,##0.00"/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9" formatCode="dd/mm/yyyy"/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9" formatCode="dd/mm/yyyy"/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5A5B42-37A1-4A49-9787-4058B0DB97A9}" name="Table1" displayName="Table1" ref="A1:K32" totalsRowShown="0" headerRowDxfId="5" dataDxfId="4">
  <autoFilter ref="A1:K32" xr:uid="{835A5B42-37A1-4A49-9787-4058B0DB97A9}"/>
  <tableColumns count="11">
    <tableColumn id="1" xr3:uid="{9132E22C-C2AD-404C-A8E7-A4FBEE0D0D77}" name="Product ID" dataDxfId="16"/>
    <tableColumn id="10" xr3:uid="{4BA51575-2588-4580-AD53-47704736191E}" name="Mfg Date" dataDxfId="15">
      <calculatedColumnFormula>LEFT(A2,6)</calculatedColumnFormula>
    </tableColumn>
    <tableColumn id="11" xr3:uid="{1840DE36-DA36-4E32-ACC4-E8584D540D61}" name="Full mfg date" dataDxfId="14">
      <calculatedColumnFormula>DATEVALUE(Table1[[#This Row],[Mfg Date]] &amp; "-2025")</calculatedColumnFormula>
    </tableColumn>
    <tableColumn id="8" xr3:uid="{806D4AC2-7093-4CE9-B5C5-5B5864296128}" name="Country code" dataDxfId="13">
      <calculatedColumnFormula>RIGHT(A2, 2)</calculatedColumnFormula>
    </tableColumn>
    <tableColumn id="2" xr3:uid="{645ED40B-80A3-4A04-AA98-DEC1023E836E}" name="Product Name" dataDxfId="12"/>
    <tableColumn id="7" xr3:uid="{5EDC836D-19B4-4422-918C-704797AB7A2A}" name="Cleaned Product Name" dataDxfId="11">
      <calculatedColumnFormula>PROPER(E2)</calculatedColumnFormula>
    </tableColumn>
    <tableColumn id="3" xr3:uid="{0F092234-FFD7-4312-AB17-713683E17670}" name="Brand Name" dataDxfId="10"/>
    <tableColumn id="4" xr3:uid="{833931C2-A0B2-4313-BD37-7F715C0A3268}" name="Price ($)" dataDxfId="9"/>
    <tableColumn id="9" xr3:uid="{C2CCB6BD-BEC3-4C25-8A27-9E2B690BCEC7}" name="Imputed price" dataDxfId="8">
      <calculatedColumnFormula>IF(H2="", IFERROR(AVERAGEIF(E$2:E$32, E2, H$2:H$32), ""), H2)</calculatedColumnFormula>
    </tableColumn>
    <tableColumn id="5" xr3:uid="{365EAE4E-5FAD-435E-8F83-2C9585973FC5}" name="Quantity" dataDxfId="7"/>
    <tableColumn id="6" xr3:uid="{69C092BF-32CF-435E-80D3-3C4611D6CB53}" name="Category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332C6D6-B232-42F7-82B6-E7D55B9B66E9}" name="Table7" displayName="Table7" ref="L1:M32" totalsRowShown="0" headerRowDxfId="1" dataDxfId="0" headerRowBorderDxfId="24" tableBorderDxfId="25" totalsRowBorderDxfId="23">
  <autoFilter ref="L1:M32" xr:uid="{8332C6D6-B232-42F7-82B6-E7D55B9B66E9}"/>
  <tableColumns count="2">
    <tableColumn id="1" xr3:uid="{BFA754D0-E60D-4328-B678-89545947458A}" name="Imputed Category" dataDxfId="3"/>
    <tableColumn id="2" xr3:uid="{4EAC1750-0B97-4488-ACF9-38BC18787A8C}" name="Product brand" dataDxfId="2">
      <calculatedColumnFormula>CONCATENATE(F2, " ", G2)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2F2DE-D5BB-4F8B-8E94-DCADFE00DABD}">
  <dimension ref="A1:K26"/>
  <sheetViews>
    <sheetView topLeftCell="A3" workbookViewId="0">
      <selection activeCell="C25" sqref="C25"/>
    </sheetView>
  </sheetViews>
  <sheetFormatPr defaultRowHeight="14.5" x14ac:dyDescent="0.35"/>
  <sheetData>
    <row r="1" spans="1:11" x14ac:dyDescent="0.35">
      <c r="A1" s="1" t="s">
        <v>0</v>
      </c>
    </row>
    <row r="3" spans="1:11" ht="15.5" x14ac:dyDescent="0.35">
      <c r="B3" s="9" t="s">
        <v>1</v>
      </c>
    </row>
    <row r="4" spans="1:11" ht="15.5" x14ac:dyDescent="0.35">
      <c r="C4" s="3" t="s">
        <v>2</v>
      </c>
    </row>
    <row r="5" spans="1:11" ht="15.5" x14ac:dyDescent="0.35">
      <c r="B5" s="4"/>
      <c r="C5" s="3" t="s">
        <v>3</v>
      </c>
    </row>
    <row r="6" spans="1:11" x14ac:dyDescent="0.35">
      <c r="B6" s="4"/>
    </row>
    <row r="7" spans="1:11" ht="15.5" x14ac:dyDescent="0.35">
      <c r="B7" s="9" t="s">
        <v>4</v>
      </c>
    </row>
    <row r="8" spans="1:11" ht="15.5" x14ac:dyDescent="0.35">
      <c r="C8" s="10" t="s">
        <v>5</v>
      </c>
    </row>
    <row r="9" spans="1:11" ht="15.5" x14ac:dyDescent="0.35">
      <c r="C9" s="3" t="s">
        <v>6</v>
      </c>
    </row>
    <row r="10" spans="1:11" ht="15.5" x14ac:dyDescent="0.35">
      <c r="C10" s="3" t="s">
        <v>7</v>
      </c>
    </row>
    <row r="11" spans="1:11" x14ac:dyDescent="0.35">
      <c r="B11" s="4"/>
    </row>
    <row r="12" spans="1:11" ht="15.5" x14ac:dyDescent="0.35">
      <c r="B12" s="9" t="s">
        <v>8</v>
      </c>
    </row>
    <row r="13" spans="1:11" ht="15.5" x14ac:dyDescent="0.35">
      <c r="B13" s="2"/>
      <c r="C13" s="10" t="s">
        <v>9</v>
      </c>
    </row>
    <row r="15" spans="1:11" ht="15.5" x14ac:dyDescent="0.35">
      <c r="B15" s="9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5" x14ac:dyDescent="0.35">
      <c r="B16" s="5"/>
      <c r="C16" s="3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5" x14ac:dyDescent="0.35">
      <c r="B17" s="5"/>
      <c r="C17" s="3" t="s">
        <v>12</v>
      </c>
      <c r="D17" s="5"/>
      <c r="E17" s="5"/>
      <c r="F17" s="5"/>
      <c r="G17" s="5"/>
      <c r="H17" s="5"/>
      <c r="I17" s="5"/>
      <c r="J17" s="5"/>
      <c r="K17" s="5"/>
    </row>
    <row r="18" spans="2:11" x14ac:dyDescent="0.35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5" x14ac:dyDescent="0.35">
      <c r="B19" s="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5" x14ac:dyDescent="0.35">
      <c r="B20" s="5"/>
      <c r="C20" s="10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5" x14ac:dyDescent="0.35">
      <c r="B21" s="5"/>
      <c r="C21" s="10" t="s">
        <v>15</v>
      </c>
      <c r="D21" s="5"/>
      <c r="E21" s="5"/>
      <c r="F21" s="5"/>
      <c r="G21" s="5"/>
      <c r="H21" s="5"/>
      <c r="I21" s="5"/>
      <c r="J21" s="5"/>
      <c r="K21" s="5"/>
    </row>
    <row r="22" spans="2:11" x14ac:dyDescent="0.35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5" x14ac:dyDescent="0.35">
      <c r="B23" s="9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5" x14ac:dyDescent="0.35">
      <c r="B24" s="5"/>
      <c r="C24" s="10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5" x14ac:dyDescent="0.35">
      <c r="B25" s="5"/>
      <c r="C25" s="10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5" x14ac:dyDescent="0.35">
      <c r="B26" s="5"/>
      <c r="C26" s="3"/>
      <c r="D26" s="5"/>
      <c r="E26" s="5"/>
      <c r="F26" s="5"/>
      <c r="G26" s="5"/>
      <c r="H26" s="5"/>
      <c r="I26" s="5"/>
      <c r="J26" s="5"/>
      <c r="K26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C10EE-02C1-4797-8E2C-044B3FCF708F}">
  <dimension ref="A1:F35"/>
  <sheetViews>
    <sheetView workbookViewId="0">
      <selection sqref="A1:F35"/>
    </sheetView>
  </sheetViews>
  <sheetFormatPr defaultRowHeight="14.5" x14ac:dyDescent="0.35"/>
  <cols>
    <col min="1" max="1" width="10.54296875" bestFit="1" customWidth="1"/>
    <col min="2" max="2" width="13.36328125" bestFit="1" customWidth="1"/>
    <col min="3" max="3" width="11.36328125" bestFit="1" customWidth="1"/>
    <col min="4" max="4" width="8" bestFit="1" customWidth="1"/>
    <col min="5" max="5" width="8.1796875" bestFit="1" customWidth="1"/>
    <col min="6" max="6" width="10.54296875" bestFit="1" customWidth="1"/>
  </cols>
  <sheetData>
    <row r="1" spans="1:6" x14ac:dyDescent="0.35">
      <c r="A1" s="6" t="s">
        <v>19</v>
      </c>
      <c r="B1" s="6" t="s">
        <v>20</v>
      </c>
      <c r="C1" s="6" t="s">
        <v>21</v>
      </c>
      <c r="D1" s="6" t="s">
        <v>22</v>
      </c>
      <c r="E1" s="6" t="s">
        <v>23</v>
      </c>
      <c r="F1" s="6" t="s">
        <v>24</v>
      </c>
    </row>
    <row r="2" spans="1:6" x14ac:dyDescent="0.35">
      <c r="A2" s="5" t="s">
        <v>25</v>
      </c>
      <c r="B2" s="5" t="s">
        <v>26</v>
      </c>
      <c r="C2" s="5" t="s">
        <v>27</v>
      </c>
      <c r="D2" s="5">
        <v>1000</v>
      </c>
      <c r="E2" s="5">
        <v>30</v>
      </c>
      <c r="F2" s="5" t="s">
        <v>28</v>
      </c>
    </row>
    <row r="3" spans="1:6" x14ac:dyDescent="0.35">
      <c r="A3" s="7" t="s">
        <v>29</v>
      </c>
      <c r="B3" s="7" t="s">
        <v>30</v>
      </c>
      <c r="C3" s="7" t="s">
        <v>31</v>
      </c>
      <c r="D3" s="7">
        <v>80</v>
      </c>
      <c r="E3" s="7">
        <v>15</v>
      </c>
      <c r="F3" s="7" t="s">
        <v>32</v>
      </c>
    </row>
    <row r="4" spans="1:6" x14ac:dyDescent="0.35">
      <c r="A4" s="5" t="s">
        <v>33</v>
      </c>
      <c r="B4" s="5" t="s">
        <v>34</v>
      </c>
      <c r="C4" s="5" t="s">
        <v>35</v>
      </c>
      <c r="D4" s="5">
        <v>130</v>
      </c>
      <c r="E4" s="5">
        <v>40</v>
      </c>
      <c r="F4" s="5" t="s">
        <v>36</v>
      </c>
    </row>
    <row r="5" spans="1:6" x14ac:dyDescent="0.35">
      <c r="A5" s="7" t="s">
        <v>37</v>
      </c>
      <c r="B5" s="7" t="s">
        <v>38</v>
      </c>
      <c r="C5" s="7" t="s">
        <v>39</v>
      </c>
      <c r="D5" s="7">
        <v>900</v>
      </c>
      <c r="E5" s="7">
        <v>25</v>
      </c>
      <c r="F5" s="7" t="s">
        <v>28</v>
      </c>
    </row>
    <row r="6" spans="1:6" x14ac:dyDescent="0.35">
      <c r="A6" s="5" t="s">
        <v>40</v>
      </c>
      <c r="B6" s="5" t="s">
        <v>41</v>
      </c>
      <c r="C6" s="5" t="s">
        <v>42</v>
      </c>
      <c r="D6" s="5">
        <v>70</v>
      </c>
      <c r="E6" s="5">
        <v>20</v>
      </c>
      <c r="F6" s="5"/>
    </row>
    <row r="7" spans="1:6" x14ac:dyDescent="0.35">
      <c r="A7" s="7" t="s">
        <v>43</v>
      </c>
      <c r="B7" s="7" t="s">
        <v>44</v>
      </c>
      <c r="C7" s="7" t="s">
        <v>45</v>
      </c>
      <c r="D7" s="7"/>
      <c r="E7" s="7">
        <v>45</v>
      </c>
      <c r="F7" s="7" t="s">
        <v>46</v>
      </c>
    </row>
    <row r="8" spans="1:6" x14ac:dyDescent="0.35">
      <c r="A8" s="5" t="s">
        <v>47</v>
      </c>
      <c r="B8" s="5" t="s">
        <v>48</v>
      </c>
      <c r="C8" s="5" t="s">
        <v>49</v>
      </c>
      <c r="D8" s="5">
        <v>30</v>
      </c>
      <c r="E8" s="5">
        <v>5</v>
      </c>
      <c r="F8" s="5" t="s">
        <v>32</v>
      </c>
    </row>
    <row r="9" spans="1:6" x14ac:dyDescent="0.35">
      <c r="A9" s="7" t="s">
        <v>50</v>
      </c>
      <c r="B9" s="7" t="s">
        <v>51</v>
      </c>
      <c r="C9" s="7" t="s">
        <v>52</v>
      </c>
      <c r="D9" s="7">
        <v>90</v>
      </c>
      <c r="E9" s="7">
        <v>35</v>
      </c>
      <c r="F9" s="7" t="s">
        <v>36</v>
      </c>
    </row>
    <row r="10" spans="1:6" x14ac:dyDescent="0.35">
      <c r="A10" s="5" t="s">
        <v>53</v>
      </c>
      <c r="B10" s="5" t="s">
        <v>54</v>
      </c>
      <c r="C10" s="5" t="s">
        <v>55</v>
      </c>
      <c r="D10" s="5">
        <v>500</v>
      </c>
      <c r="E10" s="5">
        <v>50</v>
      </c>
      <c r="F10" s="5" t="s">
        <v>28</v>
      </c>
    </row>
    <row r="11" spans="1:6" x14ac:dyDescent="0.35">
      <c r="A11" s="7" t="s">
        <v>56</v>
      </c>
      <c r="B11" s="7" t="s">
        <v>57</v>
      </c>
      <c r="C11" s="7" t="s">
        <v>58</v>
      </c>
      <c r="D11" s="7">
        <v>130</v>
      </c>
      <c r="E11" s="7">
        <v>10</v>
      </c>
      <c r="F11" s="7" t="s">
        <v>59</v>
      </c>
    </row>
    <row r="12" spans="1:6" x14ac:dyDescent="0.35">
      <c r="A12" s="5" t="s">
        <v>60</v>
      </c>
      <c r="B12" s="5" t="s">
        <v>61</v>
      </c>
      <c r="C12" s="5" t="s">
        <v>62</v>
      </c>
      <c r="D12" s="5">
        <v>950</v>
      </c>
      <c r="E12" s="5">
        <v>25</v>
      </c>
      <c r="F12" s="5" t="s">
        <v>28</v>
      </c>
    </row>
    <row r="13" spans="1:6" x14ac:dyDescent="0.35">
      <c r="A13" s="7" t="s">
        <v>63</v>
      </c>
      <c r="B13" s="7" t="s">
        <v>30</v>
      </c>
      <c r="C13" s="7" t="s">
        <v>49</v>
      </c>
      <c r="D13" s="7">
        <v>90</v>
      </c>
      <c r="E13" s="7">
        <v>40</v>
      </c>
      <c r="F13" s="7"/>
    </row>
    <row r="14" spans="1:6" x14ac:dyDescent="0.35">
      <c r="A14" s="5" t="s">
        <v>64</v>
      </c>
      <c r="B14" s="5" t="s">
        <v>34</v>
      </c>
      <c r="C14" s="5" t="s">
        <v>65</v>
      </c>
      <c r="D14" s="5">
        <v>120</v>
      </c>
      <c r="E14" s="5">
        <v>35</v>
      </c>
      <c r="F14" s="5"/>
    </row>
    <row r="15" spans="1:6" x14ac:dyDescent="0.35">
      <c r="A15" s="7" t="s">
        <v>66</v>
      </c>
      <c r="B15" s="7" t="s">
        <v>67</v>
      </c>
      <c r="C15" s="7" t="s">
        <v>68</v>
      </c>
      <c r="D15" s="7">
        <v>150</v>
      </c>
      <c r="E15" s="7">
        <v>15</v>
      </c>
      <c r="F15" s="7" t="s">
        <v>46</v>
      </c>
    </row>
    <row r="16" spans="1:6" x14ac:dyDescent="0.35">
      <c r="A16" s="5" t="s">
        <v>69</v>
      </c>
      <c r="B16" s="5" t="s">
        <v>70</v>
      </c>
      <c r="C16" s="5" t="s">
        <v>71</v>
      </c>
      <c r="D16" s="5">
        <v>250</v>
      </c>
      <c r="E16" s="5">
        <v>20</v>
      </c>
      <c r="F16" s="5" t="s">
        <v>46</v>
      </c>
    </row>
    <row r="17" spans="1:6" x14ac:dyDescent="0.35">
      <c r="A17" s="7" t="s">
        <v>72</v>
      </c>
      <c r="B17" s="7" t="s">
        <v>73</v>
      </c>
      <c r="C17" s="7" t="s">
        <v>74</v>
      </c>
      <c r="D17" s="7">
        <v>50</v>
      </c>
      <c r="E17" s="7">
        <v>35</v>
      </c>
      <c r="F17" s="7" t="s">
        <v>75</v>
      </c>
    </row>
    <row r="18" spans="1:6" x14ac:dyDescent="0.35">
      <c r="A18" s="5" t="s">
        <v>76</v>
      </c>
      <c r="B18" s="5" t="s">
        <v>67</v>
      </c>
      <c r="C18" s="5" t="s">
        <v>77</v>
      </c>
      <c r="D18" s="5">
        <v>160</v>
      </c>
      <c r="E18" s="5">
        <v>15</v>
      </c>
      <c r="F18" s="5" t="s">
        <v>46</v>
      </c>
    </row>
    <row r="19" spans="1:6" x14ac:dyDescent="0.35">
      <c r="A19" s="7" t="s">
        <v>78</v>
      </c>
      <c r="B19" s="7" t="s">
        <v>26</v>
      </c>
      <c r="C19" s="7" t="s">
        <v>79</v>
      </c>
      <c r="D19" s="7">
        <v>980</v>
      </c>
      <c r="E19" s="7">
        <v>10</v>
      </c>
      <c r="F19" s="7" t="s">
        <v>28</v>
      </c>
    </row>
    <row r="20" spans="1:6" x14ac:dyDescent="0.35">
      <c r="A20" s="5" t="s">
        <v>80</v>
      </c>
      <c r="B20" s="5" t="s">
        <v>81</v>
      </c>
      <c r="C20" s="5" t="s">
        <v>82</v>
      </c>
      <c r="D20" s="5">
        <v>150</v>
      </c>
      <c r="E20" s="5">
        <v>15</v>
      </c>
      <c r="F20" s="5" t="s">
        <v>32</v>
      </c>
    </row>
    <row r="21" spans="1:6" x14ac:dyDescent="0.35">
      <c r="A21" s="7" t="s">
        <v>83</v>
      </c>
      <c r="B21" s="7" t="s">
        <v>84</v>
      </c>
      <c r="C21" s="7" t="s">
        <v>85</v>
      </c>
      <c r="D21" s="7"/>
      <c r="E21" s="7">
        <v>10</v>
      </c>
      <c r="F21" s="7" t="s">
        <v>59</v>
      </c>
    </row>
    <row r="22" spans="1:6" x14ac:dyDescent="0.35">
      <c r="A22" s="5" t="s">
        <v>86</v>
      </c>
      <c r="B22" s="5" t="s">
        <v>87</v>
      </c>
      <c r="C22" s="5" t="s">
        <v>88</v>
      </c>
      <c r="D22" s="5">
        <v>700</v>
      </c>
      <c r="E22" s="5">
        <v>50</v>
      </c>
      <c r="F22" s="5" t="s">
        <v>28</v>
      </c>
    </row>
    <row r="23" spans="1:6" x14ac:dyDescent="0.35">
      <c r="A23" s="7" t="s">
        <v>89</v>
      </c>
      <c r="B23" s="7" t="s">
        <v>90</v>
      </c>
      <c r="C23" s="7" t="s">
        <v>91</v>
      </c>
      <c r="D23" s="7">
        <v>80</v>
      </c>
      <c r="E23" s="7">
        <v>20</v>
      </c>
      <c r="F23" s="7" t="s">
        <v>36</v>
      </c>
    </row>
    <row r="24" spans="1:6" x14ac:dyDescent="0.35">
      <c r="A24" s="5" t="s">
        <v>92</v>
      </c>
      <c r="B24" s="5" t="s">
        <v>93</v>
      </c>
      <c r="C24" s="5" t="s">
        <v>94</v>
      </c>
      <c r="D24" s="5">
        <v>150</v>
      </c>
      <c r="E24" s="5">
        <v>30</v>
      </c>
      <c r="F24" s="5"/>
    </row>
    <row r="25" spans="1:6" x14ac:dyDescent="0.35">
      <c r="A25" s="7" t="s">
        <v>72</v>
      </c>
      <c r="B25" s="7" t="s">
        <v>73</v>
      </c>
      <c r="C25" s="7" t="s">
        <v>74</v>
      </c>
      <c r="D25" s="7">
        <v>50</v>
      </c>
      <c r="E25" s="7">
        <v>35</v>
      </c>
      <c r="F25" s="7" t="s">
        <v>75</v>
      </c>
    </row>
    <row r="26" spans="1:6" x14ac:dyDescent="0.35">
      <c r="A26" s="5" t="s">
        <v>95</v>
      </c>
      <c r="B26" s="5" t="s">
        <v>96</v>
      </c>
      <c r="C26" s="5" t="s">
        <v>97</v>
      </c>
      <c r="D26" s="5">
        <v>800</v>
      </c>
      <c r="E26" s="5">
        <v>45</v>
      </c>
      <c r="F26" s="5" t="s">
        <v>28</v>
      </c>
    </row>
    <row r="27" spans="1:6" x14ac:dyDescent="0.35">
      <c r="A27" s="7" t="s">
        <v>98</v>
      </c>
      <c r="B27" s="7" t="s">
        <v>81</v>
      </c>
      <c r="C27" s="7" t="s">
        <v>99</v>
      </c>
      <c r="D27" s="7"/>
      <c r="E27" s="7">
        <v>25</v>
      </c>
      <c r="F27" s="7" t="s">
        <v>32</v>
      </c>
    </row>
    <row r="28" spans="1:6" x14ac:dyDescent="0.35">
      <c r="A28" s="5" t="s">
        <v>100</v>
      </c>
      <c r="B28" s="5" t="s">
        <v>51</v>
      </c>
      <c r="C28" s="5" t="s">
        <v>101</v>
      </c>
      <c r="D28" s="5">
        <v>400</v>
      </c>
      <c r="E28" s="5">
        <v>40</v>
      </c>
      <c r="F28" s="5" t="s">
        <v>36</v>
      </c>
    </row>
    <row r="29" spans="1:6" x14ac:dyDescent="0.35">
      <c r="A29" s="7" t="s">
        <v>69</v>
      </c>
      <c r="B29" s="7" t="s">
        <v>70</v>
      </c>
      <c r="C29" s="7" t="s">
        <v>71</v>
      </c>
      <c r="D29" s="7">
        <v>250</v>
      </c>
      <c r="E29" s="7">
        <v>20</v>
      </c>
      <c r="F29" s="7" t="s">
        <v>46</v>
      </c>
    </row>
    <row r="30" spans="1:6" x14ac:dyDescent="0.35">
      <c r="A30" s="5" t="s">
        <v>102</v>
      </c>
      <c r="B30" s="5" t="s">
        <v>103</v>
      </c>
      <c r="C30" s="5" t="s">
        <v>104</v>
      </c>
      <c r="D30" s="5">
        <v>60</v>
      </c>
      <c r="E30" s="5">
        <v>30</v>
      </c>
      <c r="F30" s="5" t="s">
        <v>32</v>
      </c>
    </row>
    <row r="31" spans="1:6" x14ac:dyDescent="0.35">
      <c r="A31" s="7" t="s">
        <v>105</v>
      </c>
      <c r="B31" s="7" t="s">
        <v>106</v>
      </c>
      <c r="C31" s="7" t="s">
        <v>107</v>
      </c>
      <c r="D31" s="7">
        <v>40</v>
      </c>
      <c r="E31" s="7">
        <v>10</v>
      </c>
      <c r="F31" s="7" t="s">
        <v>36</v>
      </c>
    </row>
    <row r="32" spans="1:6" x14ac:dyDescent="0.35">
      <c r="A32" s="5" t="s">
        <v>108</v>
      </c>
      <c r="B32" s="5" t="s">
        <v>93</v>
      </c>
      <c r="C32" s="5" t="s">
        <v>109</v>
      </c>
      <c r="D32" s="5">
        <v>130</v>
      </c>
      <c r="E32" s="5">
        <v>5</v>
      </c>
      <c r="F32" s="5" t="s">
        <v>28</v>
      </c>
    </row>
    <row r="33" spans="1:6" x14ac:dyDescent="0.35">
      <c r="A33" s="7" t="s">
        <v>110</v>
      </c>
      <c r="B33" s="7" t="s">
        <v>111</v>
      </c>
      <c r="C33" s="7" t="s">
        <v>112</v>
      </c>
      <c r="D33" s="7">
        <v>50</v>
      </c>
      <c r="E33" s="7">
        <v>50</v>
      </c>
      <c r="F33" s="7" t="s">
        <v>32</v>
      </c>
    </row>
    <row r="34" spans="1:6" x14ac:dyDescent="0.35">
      <c r="A34" s="5" t="s">
        <v>60</v>
      </c>
      <c r="B34" s="5" t="s">
        <v>61</v>
      </c>
      <c r="C34" s="5" t="s">
        <v>62</v>
      </c>
      <c r="D34" s="5">
        <v>950</v>
      </c>
      <c r="E34" s="5">
        <v>25</v>
      </c>
      <c r="F34" s="5" t="s">
        <v>28</v>
      </c>
    </row>
    <row r="35" spans="1:6" x14ac:dyDescent="0.35">
      <c r="A35" s="7" t="s">
        <v>113</v>
      </c>
      <c r="B35" s="7" t="s">
        <v>114</v>
      </c>
      <c r="C35" s="7" t="s">
        <v>115</v>
      </c>
      <c r="D35" s="7">
        <v>100</v>
      </c>
      <c r="E35" s="7">
        <v>20</v>
      </c>
      <c r="F35" s="7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F5A8D-2DEE-475E-9D01-CE45D69ECEDA}">
  <dimension ref="A1:M32"/>
  <sheetViews>
    <sheetView tabSelected="1" workbookViewId="0">
      <selection activeCell="F36" sqref="F36"/>
    </sheetView>
  </sheetViews>
  <sheetFormatPr defaultRowHeight="14.5" x14ac:dyDescent="0.35"/>
  <cols>
    <col min="1" max="1" width="14.453125" style="19" bestFit="1" customWidth="1"/>
    <col min="2" max="2" width="13.08984375" style="32" bestFit="1" customWidth="1"/>
    <col min="3" max="3" width="16.54296875" style="32" bestFit="1" customWidth="1"/>
    <col min="4" max="4" width="17" style="19" bestFit="1" customWidth="1"/>
    <col min="5" max="5" width="17.6328125" style="19" bestFit="1" customWidth="1"/>
    <col min="6" max="6" width="25.1796875" style="19" bestFit="1" customWidth="1"/>
    <col min="7" max="7" width="15.90625" style="19" bestFit="1" customWidth="1"/>
    <col min="8" max="8" width="12.54296875" style="19" bestFit="1" customWidth="1"/>
    <col min="9" max="9" width="17.08984375" style="33" bestFit="1" customWidth="1"/>
    <col min="10" max="10" width="12.7265625" style="19" bestFit="1" customWidth="1"/>
    <col min="11" max="11" width="13.1796875" style="19" bestFit="1" customWidth="1"/>
    <col min="12" max="12" width="20.7265625" style="19" bestFit="1" customWidth="1"/>
    <col min="13" max="13" width="21.1796875" style="19" bestFit="1" customWidth="1"/>
    <col min="14" max="16384" width="8.7265625" style="19"/>
  </cols>
  <sheetData>
    <row r="1" spans="1:13" x14ac:dyDescent="0.35">
      <c r="A1" s="11" t="s">
        <v>19</v>
      </c>
      <c r="B1" s="16" t="s">
        <v>119</v>
      </c>
      <c r="C1" s="16" t="s">
        <v>128</v>
      </c>
      <c r="D1" s="12" t="s">
        <v>120</v>
      </c>
      <c r="E1" s="12" t="s">
        <v>20</v>
      </c>
      <c r="F1" s="12" t="s">
        <v>118</v>
      </c>
      <c r="G1" s="11" t="s">
        <v>21</v>
      </c>
      <c r="H1" s="11" t="s">
        <v>22</v>
      </c>
      <c r="I1" s="15" t="s">
        <v>116</v>
      </c>
      <c r="J1" s="11" t="s">
        <v>23</v>
      </c>
      <c r="K1" s="11" t="s">
        <v>24</v>
      </c>
      <c r="L1" s="13" t="s">
        <v>117</v>
      </c>
      <c r="M1" s="14" t="s">
        <v>121</v>
      </c>
    </row>
    <row r="2" spans="1:13" x14ac:dyDescent="0.35">
      <c r="A2" s="20" t="s">
        <v>25</v>
      </c>
      <c r="B2" s="21" t="str">
        <f t="shared" ref="B2:B32" si="0">LEFT(A2,6)</f>
        <v>28-JAN</v>
      </c>
      <c r="C2" s="21">
        <f>DATEVALUE(Table1[[#This Row],[Mfg Date]] &amp; "-2025")</f>
        <v>45685</v>
      </c>
      <c r="D2" s="20" t="str">
        <f t="shared" ref="D2:D32" si="1">RIGHT(A2, 2)</f>
        <v>US</v>
      </c>
      <c r="E2" s="20" t="s">
        <v>26</v>
      </c>
      <c r="F2" s="20" t="str">
        <f t="shared" ref="F2:F32" si="2">PROPER(E2)</f>
        <v>Laptop</v>
      </c>
      <c r="G2" s="20" t="s">
        <v>27</v>
      </c>
      <c r="H2" s="20">
        <v>1000</v>
      </c>
      <c r="I2" s="22">
        <f>IF(H2="", IFERROR(AVERAGEIF(E$2:E$32, E2, H$2:H$32), ""), H2)</f>
        <v>1000</v>
      </c>
      <c r="J2" s="20">
        <v>30</v>
      </c>
      <c r="K2" s="20" t="s">
        <v>28</v>
      </c>
      <c r="L2" s="23" t="s">
        <v>28</v>
      </c>
      <c r="M2" s="24" t="str">
        <f>CONCATENATE(F2, " ", G2)</f>
        <v>Laptop Dell</v>
      </c>
    </row>
    <row r="3" spans="1:13" x14ac:dyDescent="0.35">
      <c r="A3" s="25" t="s">
        <v>29</v>
      </c>
      <c r="B3" s="26" t="str">
        <f>LEFT(A3,6)</f>
        <v>15-FEB</v>
      </c>
      <c r="C3" s="26">
        <f>DATEVALUE(Table1[[#This Row],[Mfg Date]] &amp; "-2025")</f>
        <v>45703</v>
      </c>
      <c r="D3" s="25" t="str">
        <f t="shared" si="1"/>
        <v>US</v>
      </c>
      <c r="E3" s="25" t="s">
        <v>30</v>
      </c>
      <c r="F3" s="25" t="str">
        <f t="shared" si="2"/>
        <v>Sneakers</v>
      </c>
      <c r="G3" s="25" t="s">
        <v>31</v>
      </c>
      <c r="H3" s="25">
        <v>80</v>
      </c>
      <c r="I3" s="22">
        <f t="shared" ref="I3:I20" si="3">IF(H3="", IFERROR(AVERAGEIF(E$2:E$32, E3, H$2:H$32), ""), H3)</f>
        <v>80</v>
      </c>
      <c r="J3" s="25">
        <v>15</v>
      </c>
      <c r="K3" s="25" t="s">
        <v>32</v>
      </c>
      <c r="L3" s="27" t="s">
        <v>32</v>
      </c>
      <c r="M3" s="24" t="str">
        <f>CONCATENATE(F3, " ", G3)</f>
        <v>Sneakers Nike</v>
      </c>
    </row>
    <row r="4" spans="1:13" x14ac:dyDescent="0.35">
      <c r="A4" s="20" t="s">
        <v>33</v>
      </c>
      <c r="B4" s="21" t="str">
        <f t="shared" si="0"/>
        <v>03-MAR</v>
      </c>
      <c r="C4" s="21">
        <f>DATEVALUE(Table1[[#This Row],[Mfg Date]] &amp; "-2025")</f>
        <v>45719</v>
      </c>
      <c r="D4" s="20" t="str">
        <f t="shared" si="1"/>
        <v>US</v>
      </c>
      <c r="E4" s="20" t="s">
        <v>34</v>
      </c>
      <c r="F4" s="20" t="str">
        <f t="shared" si="2"/>
        <v>Coffee Maker</v>
      </c>
      <c r="G4" s="20" t="s">
        <v>35</v>
      </c>
      <c r="H4" s="20">
        <v>130</v>
      </c>
      <c r="I4" s="22">
        <f t="shared" si="3"/>
        <v>130</v>
      </c>
      <c r="J4" s="20">
        <v>40</v>
      </c>
      <c r="K4" s="20" t="s">
        <v>36</v>
      </c>
      <c r="L4" s="23" t="s">
        <v>36</v>
      </c>
      <c r="M4" s="24" t="str">
        <f>CONCATENATE(F4, " ", G4)</f>
        <v>Coffee Maker Keurig</v>
      </c>
    </row>
    <row r="5" spans="1:13" x14ac:dyDescent="0.35">
      <c r="A5" s="25" t="s">
        <v>37</v>
      </c>
      <c r="B5" s="26" t="str">
        <f t="shared" si="0"/>
        <v>11-APR</v>
      </c>
      <c r="C5" s="26">
        <f>DATEVALUE(Table1[[#This Row],[Mfg Date]] &amp; "-2025")</f>
        <v>45758</v>
      </c>
      <c r="D5" s="25" t="str">
        <f t="shared" si="1"/>
        <v>US</v>
      </c>
      <c r="E5" s="25" t="s">
        <v>38</v>
      </c>
      <c r="F5" s="25" t="str">
        <f t="shared" si="2"/>
        <v>Smartphone</v>
      </c>
      <c r="G5" s="25" t="s">
        <v>39</v>
      </c>
      <c r="H5" s="25">
        <v>900</v>
      </c>
      <c r="I5" s="22">
        <f t="shared" si="3"/>
        <v>900</v>
      </c>
      <c r="J5" s="25">
        <v>25</v>
      </c>
      <c r="K5" s="25" t="s">
        <v>28</v>
      </c>
      <c r="L5" s="27" t="s">
        <v>28</v>
      </c>
      <c r="M5" s="24" t="str">
        <f>CONCATENATE(F5, " ", G5)</f>
        <v>Smartphone Samsung</v>
      </c>
    </row>
    <row r="6" spans="1:13" x14ac:dyDescent="0.35">
      <c r="A6" s="20" t="s">
        <v>40</v>
      </c>
      <c r="B6" s="21" t="str">
        <f t="shared" si="0"/>
        <v>22-MAY</v>
      </c>
      <c r="C6" s="21">
        <f>DATEVALUE(Table1[[#This Row],[Mfg Date]] &amp; "-2025")</f>
        <v>45799</v>
      </c>
      <c r="D6" s="20" t="str">
        <f t="shared" si="1"/>
        <v>US</v>
      </c>
      <c r="E6" s="20" t="s">
        <v>41</v>
      </c>
      <c r="F6" s="20" t="str">
        <f t="shared" si="2"/>
        <v>Backpack</v>
      </c>
      <c r="G6" s="20" t="s">
        <v>42</v>
      </c>
      <c r="H6" s="20">
        <v>70</v>
      </c>
      <c r="I6" s="22">
        <f t="shared" si="3"/>
        <v>70</v>
      </c>
      <c r="J6" s="20">
        <v>20</v>
      </c>
      <c r="K6" s="20"/>
      <c r="L6" s="27" t="s">
        <v>59</v>
      </c>
      <c r="M6" s="24" t="str">
        <f>CONCATENATE(F6, " ", G6)</f>
        <v>Backpack North Face</v>
      </c>
    </row>
    <row r="7" spans="1:13" x14ac:dyDescent="0.35">
      <c r="A7" s="25" t="s">
        <v>43</v>
      </c>
      <c r="B7" s="26" t="str">
        <f t="shared" si="0"/>
        <v>07-JUN</v>
      </c>
      <c r="C7" s="26">
        <f>DATEVALUE(Table1[[#This Row],[Mfg Date]] &amp; "-2025")</f>
        <v>45815</v>
      </c>
      <c r="D7" s="25" t="str">
        <f t="shared" si="1"/>
        <v>UK</v>
      </c>
      <c r="E7" s="25" t="s">
        <v>44</v>
      </c>
      <c r="F7" s="25" t="str">
        <f t="shared" si="2"/>
        <v>Headphones</v>
      </c>
      <c r="G7" s="25" t="s">
        <v>45</v>
      </c>
      <c r="H7" s="25"/>
      <c r="I7" s="22">
        <f t="shared" si="3"/>
        <v>250</v>
      </c>
      <c r="J7" s="25">
        <v>45</v>
      </c>
      <c r="K7" s="25" t="s">
        <v>28</v>
      </c>
      <c r="L7" s="27" t="s">
        <v>28</v>
      </c>
      <c r="M7" s="24" t="str">
        <f>CONCATENATE(F7, " ", G7)</f>
        <v>Headphones Sony</v>
      </c>
    </row>
    <row r="8" spans="1:13" x14ac:dyDescent="0.35">
      <c r="A8" s="20" t="s">
        <v>47</v>
      </c>
      <c r="B8" s="21" t="str">
        <f t="shared" si="0"/>
        <v>19-JUL</v>
      </c>
      <c r="C8" s="21">
        <f>DATEVALUE(Table1[[#This Row],[Mfg Date]] &amp; "-2025")</f>
        <v>45857</v>
      </c>
      <c r="D8" s="20" t="str">
        <f t="shared" si="1"/>
        <v>UK</v>
      </c>
      <c r="E8" s="20" t="s">
        <v>48</v>
      </c>
      <c r="F8" s="20" t="str">
        <f t="shared" si="2"/>
        <v>T-Shirt</v>
      </c>
      <c r="G8" s="20" t="s">
        <v>49</v>
      </c>
      <c r="H8" s="20">
        <v>30</v>
      </c>
      <c r="I8" s="22">
        <f t="shared" si="3"/>
        <v>30</v>
      </c>
      <c r="J8" s="20">
        <v>5</v>
      </c>
      <c r="K8" s="20" t="s">
        <v>32</v>
      </c>
      <c r="L8" s="23" t="s">
        <v>32</v>
      </c>
      <c r="M8" s="24" t="str">
        <f>CONCATENATE(F8, " ", G8)</f>
        <v>T-Shirt Adidas</v>
      </c>
    </row>
    <row r="9" spans="1:13" x14ac:dyDescent="0.35">
      <c r="A9" s="25" t="s">
        <v>50</v>
      </c>
      <c r="B9" s="26" t="str">
        <f t="shared" si="0"/>
        <v>23-AUG</v>
      </c>
      <c r="C9" s="26">
        <f>DATEVALUE(Table1[[#This Row],[Mfg Date]] &amp; "-2025")</f>
        <v>45892</v>
      </c>
      <c r="D9" s="25" t="str">
        <f t="shared" si="1"/>
        <v>UK</v>
      </c>
      <c r="E9" s="25" t="s">
        <v>51</v>
      </c>
      <c r="F9" s="25" t="str">
        <f t="shared" si="2"/>
        <v>Blender</v>
      </c>
      <c r="G9" s="25" t="s">
        <v>52</v>
      </c>
      <c r="H9" s="25">
        <v>90</v>
      </c>
      <c r="I9" s="22">
        <f t="shared" si="3"/>
        <v>90</v>
      </c>
      <c r="J9" s="25">
        <v>35</v>
      </c>
      <c r="K9" s="25" t="s">
        <v>36</v>
      </c>
      <c r="L9" s="27" t="s">
        <v>36</v>
      </c>
      <c r="M9" s="24" t="str">
        <f>CONCATENATE(F9, " ", G9)</f>
        <v>Blender Ninja</v>
      </c>
    </row>
    <row r="10" spans="1:13" x14ac:dyDescent="0.35">
      <c r="A10" s="20" t="s">
        <v>53</v>
      </c>
      <c r="B10" s="21" t="str">
        <f t="shared" si="0"/>
        <v>05-SEP</v>
      </c>
      <c r="C10" s="21">
        <f>DATEVALUE(Table1[[#This Row],[Mfg Date]] &amp; "-2025")</f>
        <v>45905</v>
      </c>
      <c r="D10" s="20" t="str">
        <f t="shared" si="1"/>
        <v>UK</v>
      </c>
      <c r="E10" s="20" t="s">
        <v>54</v>
      </c>
      <c r="F10" s="20" t="str">
        <f t="shared" si="2"/>
        <v>Tablet</v>
      </c>
      <c r="G10" s="20" t="s">
        <v>55</v>
      </c>
      <c r="H10" s="20">
        <v>500</v>
      </c>
      <c r="I10" s="22">
        <f t="shared" si="3"/>
        <v>500</v>
      </c>
      <c r="J10" s="20">
        <v>50</v>
      </c>
      <c r="K10" s="20" t="s">
        <v>28</v>
      </c>
      <c r="L10" s="23" t="s">
        <v>28</v>
      </c>
      <c r="M10" s="24" t="str">
        <f>CONCATENATE(F10, " ", G10)</f>
        <v>Tablet Apple</v>
      </c>
    </row>
    <row r="11" spans="1:13" x14ac:dyDescent="0.35">
      <c r="A11" s="25" t="s">
        <v>56</v>
      </c>
      <c r="B11" s="26" t="str">
        <f t="shared" si="0"/>
        <v>14-OCT</v>
      </c>
      <c r="C11" s="26">
        <f>DATEVALUE(Table1[[#This Row],[Mfg Date]] &amp; "-2025")</f>
        <v>45944</v>
      </c>
      <c r="D11" s="25" t="str">
        <f t="shared" si="1"/>
        <v>UK</v>
      </c>
      <c r="E11" s="25" t="s">
        <v>57</v>
      </c>
      <c r="F11" s="25" t="str">
        <f t="shared" si="2"/>
        <v>Hiking Boots</v>
      </c>
      <c r="G11" s="25" t="s">
        <v>58</v>
      </c>
      <c r="H11" s="25">
        <v>130</v>
      </c>
      <c r="I11" s="22">
        <f t="shared" si="3"/>
        <v>130</v>
      </c>
      <c r="J11" s="25">
        <v>10</v>
      </c>
      <c r="K11" s="25" t="s">
        <v>59</v>
      </c>
      <c r="L11" s="27" t="s">
        <v>59</v>
      </c>
      <c r="M11" s="24" t="str">
        <f>CONCATENATE(F11, " ", G11)</f>
        <v>Hiking Boots Timberland</v>
      </c>
    </row>
    <row r="12" spans="1:13" x14ac:dyDescent="0.35">
      <c r="A12" s="20" t="s">
        <v>60</v>
      </c>
      <c r="B12" s="21" t="str">
        <f t="shared" si="0"/>
        <v>17-JUN</v>
      </c>
      <c r="C12" s="21">
        <f>DATEVALUE(Table1[[#This Row],[Mfg Date]] &amp; "-2025")</f>
        <v>45825</v>
      </c>
      <c r="D12" s="20" t="str">
        <f t="shared" si="1"/>
        <v>IN</v>
      </c>
      <c r="E12" s="20" t="s">
        <v>61</v>
      </c>
      <c r="F12" s="20" t="str">
        <f t="shared" si="2"/>
        <v>Laptop</v>
      </c>
      <c r="G12" s="20" t="s">
        <v>62</v>
      </c>
      <c r="H12" s="20">
        <v>950</v>
      </c>
      <c r="I12" s="22">
        <f t="shared" si="3"/>
        <v>950</v>
      </c>
      <c r="J12" s="20">
        <v>25</v>
      </c>
      <c r="K12" s="20" t="s">
        <v>28</v>
      </c>
      <c r="L12" s="23" t="s">
        <v>28</v>
      </c>
      <c r="M12" s="24" t="str">
        <f>CONCATENATE(F12, " ", G12)</f>
        <v>Laptop HP</v>
      </c>
    </row>
    <row r="13" spans="1:13" x14ac:dyDescent="0.35">
      <c r="A13" s="25" t="s">
        <v>63</v>
      </c>
      <c r="B13" s="26" t="str">
        <f t="shared" si="0"/>
        <v>25-NOV</v>
      </c>
      <c r="C13" s="26">
        <f>DATEVALUE(Table1[[#This Row],[Mfg Date]] &amp; "-2025")</f>
        <v>45986</v>
      </c>
      <c r="D13" s="25" t="str">
        <f t="shared" si="1"/>
        <v>AU</v>
      </c>
      <c r="E13" s="25" t="s">
        <v>30</v>
      </c>
      <c r="F13" s="25" t="str">
        <f t="shared" si="2"/>
        <v>Sneakers</v>
      </c>
      <c r="G13" s="25" t="s">
        <v>49</v>
      </c>
      <c r="H13" s="25">
        <v>90</v>
      </c>
      <c r="I13" s="22">
        <f t="shared" si="3"/>
        <v>90</v>
      </c>
      <c r="J13" s="25">
        <v>40</v>
      </c>
      <c r="K13" s="25"/>
      <c r="L13" s="28" t="s">
        <v>28</v>
      </c>
      <c r="M13" s="24" t="str">
        <f>CONCATENATE(F13, " ", G13)</f>
        <v>Sneakers Adidas</v>
      </c>
    </row>
    <row r="14" spans="1:13" x14ac:dyDescent="0.35">
      <c r="A14" s="20" t="s">
        <v>64</v>
      </c>
      <c r="B14" s="21" t="str">
        <f t="shared" si="0"/>
        <v>08-DEC</v>
      </c>
      <c r="C14" s="21">
        <f>DATEVALUE(Table1[[#This Row],[Mfg Date]] &amp; "-2025")</f>
        <v>45999</v>
      </c>
      <c r="D14" s="20" t="str">
        <f t="shared" si="1"/>
        <v>DE</v>
      </c>
      <c r="E14" s="20" t="s">
        <v>34</v>
      </c>
      <c r="F14" s="20" t="str">
        <f t="shared" si="2"/>
        <v>Coffee Maker</v>
      </c>
      <c r="G14" s="20" t="s">
        <v>65</v>
      </c>
      <c r="H14" s="20">
        <v>120</v>
      </c>
      <c r="I14" s="22">
        <f t="shared" si="3"/>
        <v>120</v>
      </c>
      <c r="J14" s="20">
        <v>35</v>
      </c>
      <c r="K14" s="20"/>
      <c r="L14" s="29" t="s">
        <v>32</v>
      </c>
      <c r="M14" s="24" t="str">
        <f>CONCATENATE(F14, " ", G14)</f>
        <v>Coffee Maker Nespresso</v>
      </c>
    </row>
    <row r="15" spans="1:13" x14ac:dyDescent="0.35">
      <c r="A15" s="25" t="s">
        <v>66</v>
      </c>
      <c r="B15" s="26" t="str">
        <f t="shared" si="0"/>
        <v>18-FEB</v>
      </c>
      <c r="C15" s="26">
        <f>DATEVALUE(Table1[[#This Row],[Mfg Date]] &amp; "-2025")</f>
        <v>45706</v>
      </c>
      <c r="D15" s="25" t="str">
        <f t="shared" si="1"/>
        <v>CA</v>
      </c>
      <c r="E15" s="25" t="s">
        <v>67</v>
      </c>
      <c r="F15" s="25" t="str">
        <f t="shared" si="2"/>
        <v>Smartwatch</v>
      </c>
      <c r="G15" s="25" t="s">
        <v>68</v>
      </c>
      <c r="H15" s="25">
        <v>150</v>
      </c>
      <c r="I15" s="22">
        <f t="shared" si="3"/>
        <v>150</v>
      </c>
      <c r="J15" s="25">
        <v>15</v>
      </c>
      <c r="K15" s="25" t="s">
        <v>28</v>
      </c>
      <c r="L15" s="27" t="s">
        <v>28</v>
      </c>
      <c r="M15" s="24" t="str">
        <f>CONCATENATE(F15, " ", G15)</f>
        <v>Smartwatch Fitbit</v>
      </c>
    </row>
    <row r="16" spans="1:13" x14ac:dyDescent="0.35">
      <c r="A16" s="20" t="s">
        <v>69</v>
      </c>
      <c r="B16" s="21" t="str">
        <f t="shared" si="0"/>
        <v>16-APR</v>
      </c>
      <c r="C16" s="21">
        <f>DATEVALUE(Table1[[#This Row],[Mfg Date]] &amp; "-2025")</f>
        <v>45763</v>
      </c>
      <c r="D16" s="20" t="str">
        <f t="shared" si="1"/>
        <v>ES</v>
      </c>
      <c r="E16" s="20" t="s">
        <v>70</v>
      </c>
      <c r="F16" s="20" t="str">
        <f t="shared" si="2"/>
        <v>Headphones</v>
      </c>
      <c r="G16" s="20" t="s">
        <v>71</v>
      </c>
      <c r="H16" s="20">
        <v>250</v>
      </c>
      <c r="I16" s="22">
        <f t="shared" si="3"/>
        <v>250</v>
      </c>
      <c r="J16" s="20">
        <v>20</v>
      </c>
      <c r="K16" s="20" t="s">
        <v>28</v>
      </c>
      <c r="L16" s="23" t="s">
        <v>28</v>
      </c>
      <c r="M16" s="24" t="str">
        <f>CONCATENATE(F16, " ", G16)</f>
        <v>Headphones Bose</v>
      </c>
    </row>
    <row r="17" spans="1:13" x14ac:dyDescent="0.35">
      <c r="A17" s="25" t="s">
        <v>72</v>
      </c>
      <c r="B17" s="26" t="str">
        <f t="shared" si="0"/>
        <v>21-AUG</v>
      </c>
      <c r="C17" s="26">
        <f>DATEVALUE(Table1[[#This Row],[Mfg Date]] &amp; "-2025")</f>
        <v>45890</v>
      </c>
      <c r="D17" s="25" t="str">
        <f t="shared" si="1"/>
        <v>CA</v>
      </c>
      <c r="E17" s="25" t="s">
        <v>73</v>
      </c>
      <c r="F17" s="25" t="str">
        <f t="shared" si="2"/>
        <v>Laptop Bag</v>
      </c>
      <c r="G17" s="25" t="s">
        <v>74</v>
      </c>
      <c r="H17" s="25">
        <v>50</v>
      </c>
      <c r="I17" s="22">
        <f t="shared" si="3"/>
        <v>50</v>
      </c>
      <c r="J17" s="25">
        <v>35</v>
      </c>
      <c r="K17" s="25" t="s">
        <v>75</v>
      </c>
      <c r="L17" s="27" t="s">
        <v>75</v>
      </c>
      <c r="M17" s="24" t="str">
        <f>CONCATENATE(F17, " ", G17)</f>
        <v>Laptop Bag Samsonite</v>
      </c>
    </row>
    <row r="18" spans="1:13" x14ac:dyDescent="0.35">
      <c r="A18" s="20" t="s">
        <v>76</v>
      </c>
      <c r="B18" s="21" t="str">
        <f t="shared" si="0"/>
        <v>20-AUG</v>
      </c>
      <c r="C18" s="21">
        <f>DATEVALUE(Table1[[#This Row],[Mfg Date]] &amp; "-2025")</f>
        <v>45889</v>
      </c>
      <c r="D18" s="20" t="str">
        <f t="shared" si="1"/>
        <v>CN</v>
      </c>
      <c r="E18" s="20" t="s">
        <v>67</v>
      </c>
      <c r="F18" s="20" t="str">
        <f t="shared" si="2"/>
        <v>Smartwatch</v>
      </c>
      <c r="G18" s="20" t="s">
        <v>77</v>
      </c>
      <c r="H18" s="20">
        <v>160</v>
      </c>
      <c r="I18" s="22">
        <f t="shared" si="3"/>
        <v>160</v>
      </c>
      <c r="J18" s="20">
        <v>15</v>
      </c>
      <c r="K18" s="20" t="s">
        <v>28</v>
      </c>
      <c r="L18" s="23" t="s">
        <v>28</v>
      </c>
      <c r="M18" s="24" t="str">
        <f>CONCATENATE(F18, " ", G18)</f>
        <v>Smartwatch Huawei</v>
      </c>
    </row>
    <row r="19" spans="1:13" x14ac:dyDescent="0.35">
      <c r="A19" s="25" t="s">
        <v>78</v>
      </c>
      <c r="B19" s="26" t="str">
        <f t="shared" si="0"/>
        <v>27-JAN</v>
      </c>
      <c r="C19" s="26">
        <f>DATEVALUE(Table1[[#This Row],[Mfg Date]] &amp; "-2025")</f>
        <v>45684</v>
      </c>
      <c r="D19" s="25" t="str">
        <f t="shared" si="1"/>
        <v>IT</v>
      </c>
      <c r="E19" s="25" t="s">
        <v>26</v>
      </c>
      <c r="F19" s="25" t="str">
        <f t="shared" si="2"/>
        <v>Laptop</v>
      </c>
      <c r="G19" s="25" t="s">
        <v>79</v>
      </c>
      <c r="H19" s="25">
        <v>980</v>
      </c>
      <c r="I19" s="22">
        <f t="shared" si="3"/>
        <v>980</v>
      </c>
      <c r="J19" s="25">
        <v>10</v>
      </c>
      <c r="K19" s="25" t="s">
        <v>28</v>
      </c>
      <c r="L19" s="27" t="s">
        <v>28</v>
      </c>
      <c r="M19" s="24" t="str">
        <f>CONCATENATE(F19, " ", G19)</f>
        <v>Laptop Asus</v>
      </c>
    </row>
    <row r="20" spans="1:13" x14ac:dyDescent="0.35">
      <c r="A20" s="20" t="s">
        <v>80</v>
      </c>
      <c r="B20" s="21" t="str">
        <f t="shared" si="0"/>
        <v>01-MAR</v>
      </c>
      <c r="C20" s="21">
        <f>DATEVALUE(Table1[[#This Row],[Mfg Date]] &amp; "-2025")</f>
        <v>45717</v>
      </c>
      <c r="D20" s="20" t="str">
        <f t="shared" si="1"/>
        <v>UK</v>
      </c>
      <c r="E20" s="20" t="s">
        <v>81</v>
      </c>
      <c r="F20" s="20" t="str">
        <f t="shared" si="2"/>
        <v>Sunglasses</v>
      </c>
      <c r="G20" s="20" t="s">
        <v>82</v>
      </c>
      <c r="H20" s="20">
        <v>150</v>
      </c>
      <c r="I20" s="22">
        <f t="shared" si="3"/>
        <v>150</v>
      </c>
      <c r="J20" s="20">
        <v>15</v>
      </c>
      <c r="K20" s="20" t="s">
        <v>32</v>
      </c>
      <c r="L20" s="23" t="s">
        <v>32</v>
      </c>
      <c r="M20" s="24" t="str">
        <f>CONCATENATE(F20, " ", G20)</f>
        <v>Sunglasses Oakley</v>
      </c>
    </row>
    <row r="21" spans="1:13" x14ac:dyDescent="0.35">
      <c r="A21" s="25" t="s">
        <v>83</v>
      </c>
      <c r="B21" s="26" t="str">
        <f t="shared" si="0"/>
        <v>14-AUG</v>
      </c>
      <c r="C21" s="26">
        <f>DATEVALUE(Table1[[#This Row],[Mfg Date]] &amp; "-2025")</f>
        <v>45883</v>
      </c>
      <c r="D21" s="25" t="str">
        <f t="shared" si="1"/>
        <v>US</v>
      </c>
      <c r="E21" s="25" t="s">
        <v>84</v>
      </c>
      <c r="F21" s="25" t="str">
        <f t="shared" si="2"/>
        <v>Camping Tent</v>
      </c>
      <c r="G21" s="25" t="s">
        <v>85</v>
      </c>
      <c r="H21" s="25"/>
      <c r="I21" s="22">
        <v>130</v>
      </c>
      <c r="J21" s="25">
        <v>10</v>
      </c>
      <c r="K21" s="25" t="s">
        <v>59</v>
      </c>
      <c r="L21" s="27" t="s">
        <v>59</v>
      </c>
      <c r="M21" s="24" t="str">
        <f>CONCATENATE(F21, " ", G21)</f>
        <v>Camping Tent Coleman</v>
      </c>
    </row>
    <row r="22" spans="1:13" x14ac:dyDescent="0.35">
      <c r="A22" s="20" t="s">
        <v>86</v>
      </c>
      <c r="B22" s="21" t="str">
        <f t="shared" si="0"/>
        <v>14-MAY</v>
      </c>
      <c r="C22" s="21">
        <f>DATEVALUE(Table1[[#This Row],[Mfg Date]] &amp; "-2025")</f>
        <v>45791</v>
      </c>
      <c r="D22" s="20" t="str">
        <f t="shared" si="1"/>
        <v>RU</v>
      </c>
      <c r="E22" s="20" t="s">
        <v>87</v>
      </c>
      <c r="F22" s="20" t="str">
        <f t="shared" si="2"/>
        <v>Camera</v>
      </c>
      <c r="G22" s="20" t="s">
        <v>88</v>
      </c>
      <c r="H22" s="20">
        <v>700</v>
      </c>
      <c r="I22" s="22">
        <f t="shared" ref="I22:I32" si="4">IF(H22="", IFERROR(AVERAGEIF(E$2:E$32, E22, H$2:H$32), ""), H22)</f>
        <v>700</v>
      </c>
      <c r="J22" s="20">
        <v>50</v>
      </c>
      <c r="K22" s="20" t="s">
        <v>28</v>
      </c>
      <c r="L22" s="23" t="s">
        <v>28</v>
      </c>
      <c r="M22" s="24" t="str">
        <f>CONCATENATE(F22, " ", G22)</f>
        <v>Camera Nikon</v>
      </c>
    </row>
    <row r="23" spans="1:13" x14ac:dyDescent="0.35">
      <c r="A23" s="25" t="s">
        <v>89</v>
      </c>
      <c r="B23" s="26" t="str">
        <f t="shared" si="0"/>
        <v>09-JAN</v>
      </c>
      <c r="C23" s="26">
        <f>DATEVALUE(Table1[[#This Row],[Mfg Date]] &amp; "-2025")</f>
        <v>45666</v>
      </c>
      <c r="D23" s="25" t="str">
        <f t="shared" si="1"/>
        <v>CA</v>
      </c>
      <c r="E23" s="25" t="s">
        <v>90</v>
      </c>
      <c r="F23" s="25" t="str">
        <f t="shared" si="2"/>
        <v>Microwave</v>
      </c>
      <c r="G23" s="25" t="s">
        <v>91</v>
      </c>
      <c r="H23" s="25">
        <v>80</v>
      </c>
      <c r="I23" s="22">
        <f t="shared" si="4"/>
        <v>80</v>
      </c>
      <c r="J23" s="25">
        <v>20</v>
      </c>
      <c r="K23" s="25" t="s">
        <v>36</v>
      </c>
      <c r="L23" s="27" t="s">
        <v>36</v>
      </c>
      <c r="M23" s="24" t="str">
        <f>CONCATENATE(F23, " ", G23)</f>
        <v>Microwave Panasonic</v>
      </c>
    </row>
    <row r="24" spans="1:13" x14ac:dyDescent="0.35">
      <c r="A24" s="20" t="s">
        <v>92</v>
      </c>
      <c r="B24" s="21" t="str">
        <f t="shared" si="0"/>
        <v>19-JUL</v>
      </c>
      <c r="C24" s="21">
        <f>DATEVALUE(Table1[[#This Row],[Mfg Date]] &amp; "-2025")</f>
        <v>45857</v>
      </c>
      <c r="D24" s="20" t="str">
        <f t="shared" si="1"/>
        <v>BR</v>
      </c>
      <c r="E24" s="20" t="s">
        <v>93</v>
      </c>
      <c r="F24" s="20" t="str">
        <f t="shared" si="2"/>
        <v>Fitness Tracker</v>
      </c>
      <c r="G24" s="20" t="s">
        <v>94</v>
      </c>
      <c r="H24" s="20">
        <v>150</v>
      </c>
      <c r="I24" s="22">
        <f t="shared" si="4"/>
        <v>150</v>
      </c>
      <c r="J24" s="20">
        <v>30</v>
      </c>
      <c r="K24" s="20"/>
      <c r="L24" s="23" t="s">
        <v>28</v>
      </c>
      <c r="M24" s="24" t="str">
        <f>CONCATENATE(F24, " ", G24)</f>
        <v>Fitness Tracker Xiaomi</v>
      </c>
    </row>
    <row r="25" spans="1:13" x14ac:dyDescent="0.35">
      <c r="A25" s="20" t="s">
        <v>95</v>
      </c>
      <c r="B25" s="21" t="str">
        <f t="shared" si="0"/>
        <v>29-SEP</v>
      </c>
      <c r="C25" s="21">
        <f>DATEVALUE(Table1[[#This Row],[Mfg Date]] &amp; "-2025")</f>
        <v>45929</v>
      </c>
      <c r="D25" s="20" t="str">
        <f t="shared" si="1"/>
        <v>CA</v>
      </c>
      <c r="E25" s="20" t="s">
        <v>96</v>
      </c>
      <c r="F25" s="20" t="str">
        <f t="shared" si="2"/>
        <v>Smartphone</v>
      </c>
      <c r="G25" s="20" t="s">
        <v>97</v>
      </c>
      <c r="H25" s="20">
        <v>800</v>
      </c>
      <c r="I25" s="22">
        <f t="shared" si="4"/>
        <v>800</v>
      </c>
      <c r="J25" s="20">
        <v>45</v>
      </c>
      <c r="K25" s="20" t="s">
        <v>28</v>
      </c>
      <c r="L25" s="28" t="s">
        <v>28</v>
      </c>
      <c r="M25" s="24" t="str">
        <f>CONCATENATE(F25, " ", G25)</f>
        <v>Smartphone Google</v>
      </c>
    </row>
    <row r="26" spans="1:13" x14ac:dyDescent="0.35">
      <c r="A26" s="25" t="s">
        <v>98</v>
      </c>
      <c r="B26" s="26" t="str">
        <f t="shared" si="0"/>
        <v>03-JUN</v>
      </c>
      <c r="C26" s="26">
        <f>DATEVALUE(Table1[[#This Row],[Mfg Date]] &amp; "-2025")</f>
        <v>45811</v>
      </c>
      <c r="D26" s="25" t="str">
        <f t="shared" si="1"/>
        <v>CA</v>
      </c>
      <c r="E26" s="25" t="s">
        <v>81</v>
      </c>
      <c r="F26" s="25" t="str">
        <f t="shared" si="2"/>
        <v>Sunglasses</v>
      </c>
      <c r="G26" s="25" t="s">
        <v>99</v>
      </c>
      <c r="H26" s="25"/>
      <c r="I26" s="22">
        <f t="shared" si="4"/>
        <v>150</v>
      </c>
      <c r="J26" s="25">
        <v>25</v>
      </c>
      <c r="K26" s="25" t="s">
        <v>32</v>
      </c>
      <c r="L26" s="27" t="s">
        <v>32</v>
      </c>
      <c r="M26" s="24" t="str">
        <f>CONCATENATE(F26, " ", G26)</f>
        <v>Sunglasses Ray-Ban</v>
      </c>
    </row>
    <row r="27" spans="1:13" x14ac:dyDescent="0.35">
      <c r="A27" s="20" t="s">
        <v>100</v>
      </c>
      <c r="B27" s="21" t="str">
        <f t="shared" si="0"/>
        <v>11-JUL</v>
      </c>
      <c r="C27" s="21">
        <f>DATEVALUE(Table1[[#This Row],[Mfg Date]] &amp; "-2025")</f>
        <v>45849</v>
      </c>
      <c r="D27" s="20" t="str">
        <f t="shared" si="1"/>
        <v>CA</v>
      </c>
      <c r="E27" s="20" t="s">
        <v>51</v>
      </c>
      <c r="F27" s="20" t="str">
        <f t="shared" si="2"/>
        <v>Blender</v>
      </c>
      <c r="G27" s="20" t="s">
        <v>101</v>
      </c>
      <c r="H27" s="20">
        <v>400</v>
      </c>
      <c r="I27" s="22">
        <f t="shared" si="4"/>
        <v>400</v>
      </c>
      <c r="J27" s="20">
        <v>40</v>
      </c>
      <c r="K27" s="20" t="s">
        <v>36</v>
      </c>
      <c r="L27" s="28" t="s">
        <v>36</v>
      </c>
      <c r="M27" s="24" t="str">
        <f>CONCATENATE(F27, " ", G27)</f>
        <v>Blender Vitamix</v>
      </c>
    </row>
    <row r="28" spans="1:13" x14ac:dyDescent="0.35">
      <c r="A28" s="20" t="s">
        <v>102</v>
      </c>
      <c r="B28" s="21" t="str">
        <f t="shared" si="0"/>
        <v>07-MAR</v>
      </c>
      <c r="C28" s="21">
        <f>DATEVALUE(Table1[[#This Row],[Mfg Date]] &amp; "-2025")</f>
        <v>45723</v>
      </c>
      <c r="D28" s="20" t="str">
        <f t="shared" si="1"/>
        <v>CA</v>
      </c>
      <c r="E28" s="20" t="s">
        <v>103</v>
      </c>
      <c r="F28" s="20" t="str">
        <f t="shared" si="2"/>
        <v>Dress</v>
      </c>
      <c r="G28" s="20" t="s">
        <v>104</v>
      </c>
      <c r="H28" s="20">
        <v>60</v>
      </c>
      <c r="I28" s="22">
        <f t="shared" si="4"/>
        <v>60</v>
      </c>
      <c r="J28" s="20">
        <v>30</v>
      </c>
      <c r="K28" s="20" t="s">
        <v>32</v>
      </c>
      <c r="L28" s="23" t="s">
        <v>32</v>
      </c>
      <c r="M28" s="24" t="str">
        <f>CONCATENATE(F28, " ", G28)</f>
        <v>Dress Zara</v>
      </c>
    </row>
    <row r="29" spans="1:13" x14ac:dyDescent="0.35">
      <c r="A29" s="25" t="s">
        <v>105</v>
      </c>
      <c r="B29" s="26" t="str">
        <f t="shared" si="0"/>
        <v>13-APR</v>
      </c>
      <c r="C29" s="26">
        <f>DATEVALUE(Table1[[#This Row],[Mfg Date]] &amp; "-2025")</f>
        <v>45760</v>
      </c>
      <c r="D29" s="25" t="str">
        <f t="shared" si="1"/>
        <v>CA</v>
      </c>
      <c r="E29" s="25" t="s">
        <v>106</v>
      </c>
      <c r="F29" s="25" t="str">
        <f t="shared" si="2"/>
        <v>Toaster</v>
      </c>
      <c r="G29" s="25" t="s">
        <v>107</v>
      </c>
      <c r="H29" s="25">
        <v>40</v>
      </c>
      <c r="I29" s="22">
        <f t="shared" si="4"/>
        <v>40</v>
      </c>
      <c r="J29" s="25">
        <v>10</v>
      </c>
      <c r="K29" s="25" t="s">
        <v>36</v>
      </c>
      <c r="L29" s="27" t="s">
        <v>36</v>
      </c>
      <c r="M29" s="24" t="str">
        <f>CONCATENATE(F29, " ", G29)</f>
        <v>Toaster Hamilton</v>
      </c>
    </row>
    <row r="30" spans="1:13" x14ac:dyDescent="0.35">
      <c r="A30" s="20" t="s">
        <v>108</v>
      </c>
      <c r="B30" s="21" t="str">
        <f t="shared" si="0"/>
        <v>24-MAY</v>
      </c>
      <c r="C30" s="21">
        <f>DATEVALUE(Table1[[#This Row],[Mfg Date]] &amp; "-2025")</f>
        <v>45801</v>
      </c>
      <c r="D30" s="20" t="str">
        <f t="shared" si="1"/>
        <v>CA</v>
      </c>
      <c r="E30" s="20" t="s">
        <v>93</v>
      </c>
      <c r="F30" s="20" t="str">
        <f t="shared" si="2"/>
        <v>Fitness Tracker</v>
      </c>
      <c r="G30" s="20" t="s">
        <v>109</v>
      </c>
      <c r="H30" s="20">
        <v>130</v>
      </c>
      <c r="I30" s="22">
        <f t="shared" si="4"/>
        <v>130</v>
      </c>
      <c r="J30" s="20">
        <v>5</v>
      </c>
      <c r="K30" s="20" t="s">
        <v>28</v>
      </c>
      <c r="L30" s="23" t="s">
        <v>28</v>
      </c>
      <c r="M30" s="24" t="str">
        <f>CONCATENATE(F30, " ", G30)</f>
        <v>Fitness Tracker Garmin</v>
      </c>
    </row>
    <row r="31" spans="1:13" x14ac:dyDescent="0.35">
      <c r="A31" s="25" t="s">
        <v>110</v>
      </c>
      <c r="B31" s="26" t="str">
        <f t="shared" si="0"/>
        <v>02-DEC</v>
      </c>
      <c r="C31" s="26">
        <f>DATEVALUE(Table1[[#This Row],[Mfg Date]] &amp; "-2025")</f>
        <v>45993</v>
      </c>
      <c r="D31" s="25" t="str">
        <f t="shared" si="1"/>
        <v>CA</v>
      </c>
      <c r="E31" s="25" t="s">
        <v>111</v>
      </c>
      <c r="F31" s="25" t="str">
        <f t="shared" si="2"/>
        <v>Jeans</v>
      </c>
      <c r="G31" s="25" t="s">
        <v>112</v>
      </c>
      <c r="H31" s="25">
        <v>50</v>
      </c>
      <c r="I31" s="22">
        <f t="shared" si="4"/>
        <v>50</v>
      </c>
      <c r="J31" s="25">
        <v>50</v>
      </c>
      <c r="K31" s="25" t="s">
        <v>32</v>
      </c>
      <c r="L31" s="27" t="s">
        <v>32</v>
      </c>
      <c r="M31" s="24" t="str">
        <f>CONCATENATE(F31, " ", G31)</f>
        <v>Jeans Levi's</v>
      </c>
    </row>
    <row r="32" spans="1:13" x14ac:dyDescent="0.35">
      <c r="A32" s="25" t="s">
        <v>113</v>
      </c>
      <c r="B32" s="26" t="str">
        <f t="shared" si="0"/>
        <v>09-JUL</v>
      </c>
      <c r="C32" s="26">
        <f>DATEVALUE(Table1[[#This Row],[Mfg Date]] &amp; "-2025")</f>
        <v>45847</v>
      </c>
      <c r="D32" s="25" t="str">
        <f t="shared" si="1"/>
        <v>FR</v>
      </c>
      <c r="E32" s="25" t="s">
        <v>114</v>
      </c>
      <c r="F32" s="25" t="str">
        <f t="shared" si="2"/>
        <v>Watch</v>
      </c>
      <c r="G32" s="25" t="s">
        <v>115</v>
      </c>
      <c r="H32" s="25">
        <v>100</v>
      </c>
      <c r="I32" s="22">
        <f t="shared" si="4"/>
        <v>100</v>
      </c>
      <c r="J32" s="25">
        <v>20</v>
      </c>
      <c r="K32" s="25" t="s">
        <v>75</v>
      </c>
      <c r="L32" s="30" t="s">
        <v>75</v>
      </c>
      <c r="M32" s="31" t="str">
        <f>CONCATENATE(F32, " ", G32)</f>
        <v>Watch Casio</v>
      </c>
    </row>
  </sheetData>
  <conditionalFormatting sqref="I1:I1048576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{CC939D28-4A9F-4809-A81F-D75C745448EE}</x14:id>
        </ext>
      </extLst>
    </cfRule>
  </conditionalFormatting>
  <conditionalFormatting sqref="L1:L1048576">
    <cfRule type="containsText" dxfId="17" priority="3" operator="containsText" text="Electronics">
      <formula>NOT(ISERROR(SEARCH("Electronics",L1)))</formula>
    </cfRule>
    <cfRule type="containsText" dxfId="18" priority="2" operator="containsText" text="Imputed Category">
      <formula>NOT(ISERROR(SEARCH("Imputed Category",L1)))</formula>
    </cfRule>
    <cfRule type="containsText" dxfId="19" priority="1" operator="containsText" text="Imputed Category">
      <formula>NOT(ISERROR(SEARCH("Imputed Category",L1)))</formula>
    </cfRule>
  </conditionalFormatting>
  <pageMargins left="0.7" right="0.7" top="0.75" bottom="0.75" header="0.3" footer="0.3"/>
  <ignoredErrors>
    <ignoredError sqref="I21" calculatedColumn="1"/>
  </ignoredErrors>
  <tableParts count="2">
    <tablePart r:id="rId1"/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C939D28-4A9F-4809-A81F-D75C745448E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I1:I1048576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22AF9-AB38-45CB-8275-2DC717173786}">
  <dimension ref="A1:N32"/>
  <sheetViews>
    <sheetView topLeftCell="A16" workbookViewId="0">
      <selection activeCell="P21" sqref="P21"/>
    </sheetView>
  </sheetViews>
  <sheetFormatPr defaultRowHeight="14.5" x14ac:dyDescent="0.35"/>
  <sheetData>
    <row r="1" spans="1:14" x14ac:dyDescent="0.35">
      <c r="A1" s="8"/>
    </row>
    <row r="5" spans="1:14" ht="18" x14ac:dyDescent="0.4">
      <c r="A5" s="17" t="s">
        <v>1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</row>
    <row r="6" spans="1:14" ht="18" x14ac:dyDescent="0.4">
      <c r="A6" s="17" t="s">
        <v>136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</row>
    <row r="7" spans="1:14" ht="18" x14ac:dyDescent="0.4">
      <c r="A7" s="17" t="s">
        <v>137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</row>
    <row r="8" spans="1:14" ht="18" x14ac:dyDescent="0.4">
      <c r="A8" s="18" t="s">
        <v>138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</row>
    <row r="9" spans="1:14" ht="18" x14ac:dyDescent="0.4">
      <c r="A9" s="18" t="s">
        <v>135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</row>
    <row r="10" spans="1:14" ht="18" x14ac:dyDescent="0.4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</row>
    <row r="11" spans="1:14" ht="18" x14ac:dyDescent="0.4">
      <c r="A11" s="17" t="s">
        <v>4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</row>
    <row r="12" spans="1:14" ht="18" x14ac:dyDescent="0.4">
      <c r="A12" s="17"/>
      <c r="B12" s="17" t="s">
        <v>122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</row>
    <row r="13" spans="1:14" ht="18" x14ac:dyDescent="0.4">
      <c r="A13" s="17"/>
      <c r="B13" s="17" t="s">
        <v>132</v>
      </c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</row>
    <row r="14" spans="1:14" ht="18" x14ac:dyDescent="0.4">
      <c r="A14" s="17"/>
      <c r="B14" s="17" t="s">
        <v>133</v>
      </c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</row>
    <row r="15" spans="1:14" ht="18" x14ac:dyDescent="0.4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</row>
    <row r="16" spans="1:14" ht="18" x14ac:dyDescent="0.4">
      <c r="A16" s="17" t="s">
        <v>8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</row>
    <row r="17" spans="1:14" ht="18" x14ac:dyDescent="0.4">
      <c r="A17" s="17"/>
      <c r="B17" s="17" t="s">
        <v>134</v>
      </c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</row>
    <row r="18" spans="1:14" ht="18" x14ac:dyDescent="0.4">
      <c r="A18" s="17"/>
      <c r="B18" s="17" t="s">
        <v>123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</row>
    <row r="19" spans="1:14" ht="18" x14ac:dyDescent="0.4">
      <c r="A19" s="17"/>
      <c r="B19" s="17" t="s">
        <v>124</v>
      </c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</row>
    <row r="20" spans="1:14" ht="18" x14ac:dyDescent="0.4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</row>
    <row r="21" spans="1:14" ht="18" x14ac:dyDescent="0.4">
      <c r="A21" s="17" t="s">
        <v>10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</row>
    <row r="22" spans="1:14" ht="18" x14ac:dyDescent="0.4">
      <c r="A22" s="17"/>
      <c r="B22" s="17" t="s">
        <v>125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</row>
    <row r="23" spans="1:14" ht="18" x14ac:dyDescent="0.4">
      <c r="A23" s="17"/>
      <c r="B23" s="17" t="s">
        <v>126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</row>
    <row r="24" spans="1:14" ht="18" x14ac:dyDescent="0.4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</row>
    <row r="25" spans="1:14" ht="18" x14ac:dyDescent="0.4">
      <c r="A25" s="17" t="s">
        <v>13</v>
      </c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</row>
    <row r="26" spans="1:14" ht="18" x14ac:dyDescent="0.4">
      <c r="A26" s="17"/>
      <c r="B26" s="17" t="s">
        <v>127</v>
      </c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</row>
    <row r="27" spans="1:14" ht="18" x14ac:dyDescent="0.4">
      <c r="A27" s="17"/>
      <c r="B27" s="17" t="s">
        <v>129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</row>
    <row r="28" spans="1:14" ht="18" x14ac:dyDescent="0.4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</row>
    <row r="29" spans="1:14" ht="18" x14ac:dyDescent="0.4">
      <c r="A29" s="17" t="s">
        <v>16</v>
      </c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</row>
    <row r="30" spans="1:14" ht="18" x14ac:dyDescent="0.4">
      <c r="A30" s="17"/>
      <c r="B30" s="17" t="s">
        <v>130</v>
      </c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</row>
    <row r="31" spans="1:14" ht="18" x14ac:dyDescent="0.4">
      <c r="A31" s="17"/>
      <c r="B31" s="17" t="s">
        <v>131</v>
      </c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</row>
    <row r="32" spans="1:14" ht="18" x14ac:dyDescent="0.4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Data set</vt:lpstr>
      <vt:lpstr>Cleaned data</vt:lpstr>
      <vt:lpstr>Answer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Navin0786_s@outlook.com</dc:creator>
  <cp:lastModifiedBy>Navin0786_s@outlook.com</cp:lastModifiedBy>
  <dcterms:created xsi:type="dcterms:W3CDTF">2026-01-02T06:36:47Z</dcterms:created>
  <dcterms:modified xsi:type="dcterms:W3CDTF">2026-01-02T15:35:06Z</dcterms:modified>
</cp:coreProperties>
</file>