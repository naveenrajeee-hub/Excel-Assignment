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VEENRAJ J\Documents\excel files insights\Assignment excel insights\"/>
    </mc:Choice>
  </mc:AlternateContent>
  <xr:revisionPtr revIDLastSave="0" documentId="13_ncr:1_{DE17BFC9-56F2-48E5-AF06-43FB336C8C4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Instructions" sheetId="1" r:id="rId1"/>
    <sheet name="Dataset" sheetId="2" r:id="rId2"/>
    <sheet name="Answ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C24" i="3" l="1"/>
  <c r="C22" i="3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2" i="2"/>
</calcChain>
</file>

<file path=xl/sharedStrings.xml><?xml version="1.0" encoding="utf-8"?>
<sst xmlns="http://schemas.openxmlformats.org/spreadsheetml/2006/main" count="200" uniqueCount="145">
  <si>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</si>
  <si>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</si>
  <si>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</si>
  <si>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</si>
  <si>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</si>
  <si>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</si>
  <si>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</si>
  <si>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</si>
  <si>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</si>
  <si>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</si>
  <si>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</si>
  <si>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</si>
  <si>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</si>
  <si>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</si>
  <si>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</si>
  <si>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</si>
  <si>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</si>
  <si>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</si>
  <si>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</si>
  <si>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</si>
  <si>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</si>
  <si>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</si>
  <si>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</si>
  <si>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</si>
  <si>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</si>
  <si>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</si>
  <si>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</si>
  <si>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</si>
  <si>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</si>
  <si>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</si>
  <si>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</si>
  <si>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</si>
  <si>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</si>
  <si>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</si>
  <si>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</si>
  <si>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</si>
  <si>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</si>
  <si>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</si>
  <si>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</si>
  <si>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</si>
  <si>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</si>
  <si>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</si>
  <si>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</si>
  <si>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</si>
  <si>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</si>
  <si>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</si>
  <si>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</si>
  <si>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</si>
  <si>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</si>
  <si>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</si>
  <si>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</si>
  <si>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</si>
  <si>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</si>
  <si>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</si>
  <si>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</si>
  <si>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</si>
  <si>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</si>
  <si>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</si>
  <si>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</si>
  <si>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</si>
  <si>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</si>
  <si>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</si>
  <si>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</si>
  <si>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</si>
  <si>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</si>
  <si>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</si>
  <si>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</si>
  <si>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</si>
  <si>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</si>
  <si>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</si>
  <si>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</si>
  <si>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</si>
  <si>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</si>
  <si>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</si>
  <si>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</si>
  <si>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</si>
  <si>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</si>
  <si>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</si>
  <si>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</si>
  <si>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</si>
  <si>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</si>
  <si>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</si>
  <si>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</si>
  <si>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</si>
  <si>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</si>
  <si>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</si>
  <si>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</si>
  <si>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</si>
  <si>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</si>
  <si>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</si>
  <si>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</si>
  <si>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</si>
  <si>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</si>
  <si>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</si>
  <si>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</si>
  <si>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</si>
  <si>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</si>
  <si>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</si>
  <si>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</si>
  <si>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</si>
  <si>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</si>
  <si>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</si>
  <si>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</si>
  <si>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</si>
  <si>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</si>
  <si>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</si>
  <si>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</si>
  <si>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</si>
  <si>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</si>
  <si>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</si>
  <si>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</si>
  <si>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S.No.</t>
  </si>
  <si>
    <t>Total products</t>
  </si>
  <si>
    <t>Average Price</t>
  </si>
  <si>
    <t>Task</t>
  </si>
  <si>
    <t>1. Sum count Average</t>
  </si>
  <si>
    <t>2. Min &amp; Max</t>
  </si>
  <si>
    <t>minimum price</t>
  </si>
  <si>
    <t>Maximum price</t>
  </si>
  <si>
    <t>30$</t>
  </si>
  <si>
    <t>1000$</t>
  </si>
  <si>
    <t>Price Range</t>
  </si>
  <si>
    <t>3. If function</t>
  </si>
  <si>
    <t>Result</t>
  </si>
  <si>
    <t>using if</t>
  </si>
  <si>
    <t xml:space="preserve">create column </t>
  </si>
  <si>
    <t xml:space="preserve">Result </t>
  </si>
  <si>
    <t>Created column</t>
  </si>
  <si>
    <t>with high price</t>
  </si>
  <si>
    <t>and standard price</t>
  </si>
  <si>
    <t>4. Sum If and Count If</t>
  </si>
  <si>
    <t>price</t>
  </si>
  <si>
    <t>Total Electronics</t>
  </si>
  <si>
    <t xml:space="preserve">count of products </t>
  </si>
  <si>
    <t>less than 100$</t>
  </si>
  <si>
    <t>5.Text formatting Left Right and Mid</t>
  </si>
  <si>
    <t>Day</t>
  </si>
  <si>
    <t>Country Code</t>
  </si>
  <si>
    <t>Month</t>
  </si>
  <si>
    <t>S.no.</t>
  </si>
  <si>
    <t>Tasks</t>
  </si>
  <si>
    <t>new columns added</t>
  </si>
  <si>
    <t>left()</t>
  </si>
  <si>
    <t>Right ()</t>
  </si>
  <si>
    <t>Mid()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</si>
</sst>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8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0"/>
      <color rgb="FF000000"/>
      <name val="Arial"/>
      <family val="2"/>
      <scheme val="minor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rgb="FFE0F7FA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6" fillId="0" borderId="5" xfId="0" applyFont="1" applyBorder="1"/>
    <xf numFmtId="0" fontId="6" fillId="0" borderId="1" xfId="0" applyFont="1" applyBorder="1"/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6" fillId="3" borderId="5" xfId="0" applyFont="1" applyFill="1" applyBorder="1"/>
    <xf numFmtId="0" fontId="6" fillId="3" borderId="1" xfId="0" applyFont="1" applyFill="1" applyBorder="1"/>
    <xf numFmtId="0" fontId="6" fillId="3" borderId="7" xfId="0" applyFont="1" applyFill="1" applyBorder="1"/>
    <xf numFmtId="0" fontId="6" fillId="3" borderId="8" xfId="0" applyFont="1" applyFill="1" applyBorder="1"/>
    <xf numFmtId="0" fontId="7" fillId="3" borderId="8" xfId="0" applyFont="1" applyFill="1" applyBorder="1"/>
    <xf numFmtId="0" fontId="7" fillId="3" borderId="6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1" fillId="0" borderId="0" xfId="0" applyFont="1"/>
    <xf numFmtId="0" fontId="9" fillId="0" borderId="6" xfId="0" applyFont="1" applyBorder="1"/>
    <xf numFmtId="0" fontId="9" fillId="0" borderId="5" xfId="0" applyFont="1" applyBorder="1"/>
    <xf numFmtId="0" fontId="10" fillId="0" borderId="8" xfId="0" applyFont="1" applyBorder="1"/>
    <xf numFmtId="0" fontId="9" fillId="0" borderId="3" xfId="0" applyFont="1" applyBorder="1"/>
    <xf numFmtId="0" fontId="9" fillId="0" borderId="8" xfId="0" applyFont="1" applyBorder="1"/>
    <xf numFmtId="0" fontId="9" fillId="0" borderId="11" xfId="0" applyFont="1" applyBorder="1"/>
    <xf numFmtId="0" fontId="9" fillId="0" borderId="7" xfId="0" applyFont="1" applyBorder="1"/>
    <xf numFmtId="0" fontId="9" fillId="0" borderId="9" xfId="0" applyFont="1" applyBorder="1"/>
    <xf numFmtId="0" fontId="9" fillId="0" borderId="2" xfId="0" applyFont="1" applyBorder="1"/>
    <xf numFmtId="0" fontId="6" fillId="3" borderId="8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AE30F2-9FC3-494F-B049-98F111B1566B}" name="Table1" displayName="Table1" ref="A1:J34" totalsRowCount="1" headerRowDxfId="23" dataDxfId="22" headerRowBorderDxfId="20" tableBorderDxfId="21" totalsRowBorderDxfId="19">
  <autoFilter ref="A1:J33" xr:uid="{D1AE30F2-9FC3-494F-B049-98F111B1566B}"/>
  <tableColumns count="10">
    <tableColumn id="1" xr3:uid="{4999D889-8701-4946-8DC4-084CF300BE6C}" name="Product ID" dataDxfId="18" totalsRowDxfId="8"/>
    <tableColumn id="2" xr3:uid="{DDA115D0-274D-420F-B558-C0ED2B1B3DB1}" name="Product Name" dataDxfId="17" totalsRowDxfId="7"/>
    <tableColumn id="3" xr3:uid="{D688F98C-FD55-46A2-A7E2-4B70716FA9B6}" name="Brand Name" dataDxfId="16" totalsRowDxfId="6"/>
    <tableColumn id="4" xr3:uid="{557B25C1-26DA-42C9-B80E-5A192B8CB641}" name="Price Range" dataDxfId="15" totalsRowDxfId="5">
      <calculatedColumnFormula>IF(E2&gt;=500, "High price", "Standard Price")</calculatedColumnFormula>
    </tableColumn>
    <tableColumn id="5" xr3:uid="{0C9D1B5D-04EA-4622-B42F-D33A652DEF64}" name="Price ($)" dataDxfId="9"/>
    <tableColumn id="6" xr3:uid="{5503EBE6-DE4A-4604-8EDD-12E224907FED}" name="Quantity" dataDxfId="14" totalsRowDxfId="4"/>
    <tableColumn id="7" xr3:uid="{FFACE34A-EC98-41CB-9E81-6E8367507D0A}" name="Category" dataDxfId="13" totalsRowDxfId="3"/>
    <tableColumn id="8" xr3:uid="{3E19971D-9912-4ABB-8D8D-90CA5D1F39DF}" name="Day" dataDxfId="12" totalsRowDxfId="2">
      <calculatedColumnFormula>LEFT(A2, "2")</calculatedColumnFormula>
    </tableColumn>
    <tableColumn id="10" xr3:uid="{448F61DF-7BFC-4F80-B8C8-11A4C6D237A2}" name="Country Code" dataDxfId="11" totalsRowDxfId="1">
      <calculatedColumnFormula>RIGHT(A2, "2")</calculatedColumnFormula>
    </tableColumn>
    <tableColumn id="11" xr3:uid="{538DFACB-E6E8-415E-B648-B7761663A24C}" name="Month" dataDxfId="10" totalsRowDxfId="0">
      <calculatedColumnFormula>MID(A2, 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B1" workbookViewId="0">
      <selection activeCell="C16" sqref="C16:I16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36"/>
  <sheetViews>
    <sheetView topLeftCell="A13" workbookViewId="0">
      <selection activeCell="E34" sqref="E34"/>
    </sheetView>
  </sheetViews>
  <sheetFormatPr defaultColWidth="12.6328125" defaultRowHeight="15" customHeight="1" x14ac:dyDescent="0.25"/>
  <cols>
    <col min="1" max="1" width="12.6328125" customWidth="1"/>
    <col min="2" max="2" width="15" customWidth="1"/>
    <col min="3" max="3" width="13.36328125" customWidth="1"/>
    <col min="4" max="4" width="13.1796875" customWidth="1"/>
    <col min="5" max="7" width="12.6328125" customWidth="1"/>
    <col min="8" max="8" width="12.7265625" bestFit="1" customWidth="1"/>
    <col min="9" max="9" width="17.26953125" bestFit="1" customWidth="1"/>
    <col min="11" max="11" width="14.1796875" bestFit="1" customWidth="1"/>
    <col min="12" max="12" width="15.26953125" bestFit="1" customWidth="1"/>
    <col min="13" max="13" width="15.81640625" bestFit="1" customWidth="1"/>
  </cols>
  <sheetData>
    <row r="1" spans="1:10" ht="15.75" customHeight="1" x14ac:dyDescent="0.3">
      <c r="A1" s="5" t="s">
        <v>17</v>
      </c>
      <c r="B1" s="6" t="s">
        <v>18</v>
      </c>
      <c r="C1" s="6" t="s">
        <v>19</v>
      </c>
      <c r="D1" s="7" t="s">
        <v>121</v>
      </c>
      <c r="E1" s="6" t="s">
        <v>20</v>
      </c>
      <c r="F1" s="6" t="s">
        <v>21</v>
      </c>
      <c r="G1" s="6" t="s">
        <v>22</v>
      </c>
      <c r="H1" s="7" t="s">
        <v>136</v>
      </c>
      <c r="I1" s="8" t="s">
        <v>137</v>
      </c>
      <c r="J1" s="7" t="s">
        <v>138</v>
      </c>
    </row>
    <row r="2" spans="1:10" ht="15.75" customHeight="1" x14ac:dyDescent="0.25">
      <c r="A2" s="9" t="s">
        <v>23</v>
      </c>
      <c r="B2" s="10" t="s">
        <v>24</v>
      </c>
      <c r="C2" s="10" t="s">
        <v>25</v>
      </c>
      <c r="D2" s="11" t="str">
        <f>IF(E2&gt;=500, "High price", "Standard Price")</f>
        <v>High price</v>
      </c>
      <c r="E2" s="10">
        <v>1000</v>
      </c>
      <c r="F2" s="10">
        <v>30</v>
      </c>
      <c r="G2" s="10" t="s">
        <v>26</v>
      </c>
      <c r="H2" s="12" t="str">
        <f>LEFT(A2, "2")</f>
        <v>28</v>
      </c>
      <c r="I2" s="18" t="str">
        <f>RIGHT(A2, "2")</f>
        <v>US</v>
      </c>
      <c r="J2" s="19" t="str">
        <f>MID(A2, 4,3)</f>
        <v>JAN</v>
      </c>
    </row>
    <row r="3" spans="1:10" ht="15.75" customHeight="1" x14ac:dyDescent="0.25">
      <c r="A3" s="13" t="s">
        <v>27</v>
      </c>
      <c r="B3" s="14" t="s">
        <v>28</v>
      </c>
      <c r="C3" s="14" t="s">
        <v>29</v>
      </c>
      <c r="D3" s="11" t="str">
        <f>IF(E3&gt;=500, "High price", "Standard Price")</f>
        <v>Standard Price</v>
      </c>
      <c r="E3" s="14">
        <v>80</v>
      </c>
      <c r="F3" s="14">
        <v>15</v>
      </c>
      <c r="G3" s="14" t="s">
        <v>30</v>
      </c>
      <c r="H3" s="12" t="str">
        <f>LEFT(A3, "2")</f>
        <v>15</v>
      </c>
      <c r="I3" s="18" t="str">
        <f>RIGHT(A3, "2")</f>
        <v>US</v>
      </c>
      <c r="J3" s="12" t="str">
        <f>MID(A3, 4,3)</f>
        <v>FEB</v>
      </c>
    </row>
    <row r="4" spans="1:10" ht="15.75" customHeight="1" x14ac:dyDescent="0.25">
      <c r="A4" s="9" t="s">
        <v>31</v>
      </c>
      <c r="B4" s="10" t="s">
        <v>32</v>
      </c>
      <c r="C4" s="10" t="s">
        <v>33</v>
      </c>
      <c r="D4" s="11" t="str">
        <f>IF(E4&gt;=500, "High price", "Standard Price")</f>
        <v>Standard Price</v>
      </c>
      <c r="E4" s="10">
        <v>130</v>
      </c>
      <c r="F4" s="10">
        <v>40</v>
      </c>
      <c r="G4" s="10" t="s">
        <v>34</v>
      </c>
      <c r="H4" s="12" t="str">
        <f>LEFT(A4, "2")</f>
        <v>03</v>
      </c>
      <c r="I4" s="18" t="str">
        <f>RIGHT(A4, "2")</f>
        <v>US</v>
      </c>
      <c r="J4" s="12" t="str">
        <f>MID(A4, 4,3)</f>
        <v>MAR</v>
      </c>
    </row>
    <row r="5" spans="1:10" ht="15.75" customHeight="1" x14ac:dyDescent="0.25">
      <c r="A5" s="13" t="s">
        <v>35</v>
      </c>
      <c r="B5" s="14" t="s">
        <v>36</v>
      </c>
      <c r="C5" s="14" t="s">
        <v>37</v>
      </c>
      <c r="D5" s="11" t="str">
        <f>IF(E5&gt;=500, "High price", "Standard Price")</f>
        <v>High price</v>
      </c>
      <c r="E5" s="14">
        <v>900</v>
      </c>
      <c r="F5" s="14">
        <v>25</v>
      </c>
      <c r="G5" s="14" t="s">
        <v>26</v>
      </c>
      <c r="H5" s="12" t="str">
        <f>LEFT(A5, "2")</f>
        <v>11</v>
      </c>
      <c r="I5" s="18" t="str">
        <f>RIGHT(A5, "2")</f>
        <v>US</v>
      </c>
      <c r="J5" s="12" t="str">
        <f>MID(A5, 4,3)</f>
        <v>APR</v>
      </c>
    </row>
    <row r="6" spans="1:10" ht="15.75" customHeight="1" x14ac:dyDescent="0.25">
      <c r="A6" s="9" t="s">
        <v>38</v>
      </c>
      <c r="B6" s="10" t="s">
        <v>39</v>
      </c>
      <c r="C6" s="10" t="s">
        <v>40</v>
      </c>
      <c r="D6" s="11" t="str">
        <f>IF(E6&gt;=500, "High price", "Standard Price")</f>
        <v>Standard Price</v>
      </c>
      <c r="E6" s="10">
        <v>70</v>
      </c>
      <c r="F6" s="10">
        <v>20</v>
      </c>
      <c r="G6" s="10" t="s">
        <v>41</v>
      </c>
      <c r="H6" s="12" t="str">
        <f>LEFT(A6, "2")</f>
        <v>22</v>
      </c>
      <c r="I6" s="18" t="str">
        <f>RIGHT(A6, "2")</f>
        <v>US</v>
      </c>
      <c r="J6" s="12" t="str">
        <f>MID(A6, 4,3)</f>
        <v>MAY</v>
      </c>
    </row>
    <row r="7" spans="1:10" ht="15.75" customHeight="1" x14ac:dyDescent="0.25">
      <c r="A7" s="13" t="s">
        <v>42</v>
      </c>
      <c r="B7" s="14" t="s">
        <v>43</v>
      </c>
      <c r="C7" s="14" t="s">
        <v>44</v>
      </c>
      <c r="D7" s="11" t="str">
        <f>IF(E7&gt;=500, "High price", "Standard Price")</f>
        <v>Standard Price</v>
      </c>
      <c r="E7" s="14">
        <v>200</v>
      </c>
      <c r="F7" s="14">
        <v>45</v>
      </c>
      <c r="G7" s="14" t="s">
        <v>26</v>
      </c>
      <c r="H7" s="12" t="str">
        <f>LEFT(A7, "2")</f>
        <v>07</v>
      </c>
      <c r="I7" s="18" t="str">
        <f>RIGHT(A7, "2")</f>
        <v>UK</v>
      </c>
      <c r="J7" s="12" t="str">
        <f>MID(A7, 4,3)</f>
        <v>JUN</v>
      </c>
    </row>
    <row r="8" spans="1:10" ht="15.75" customHeight="1" x14ac:dyDescent="0.25">
      <c r="A8" s="9" t="s">
        <v>45</v>
      </c>
      <c r="B8" s="10" t="s">
        <v>46</v>
      </c>
      <c r="C8" s="10" t="s">
        <v>47</v>
      </c>
      <c r="D8" s="11" t="str">
        <f>IF(E8&gt;=500, "High price", "Standard Price")</f>
        <v>Standard Price</v>
      </c>
      <c r="E8" s="10">
        <v>30</v>
      </c>
      <c r="F8" s="10">
        <v>5</v>
      </c>
      <c r="G8" s="10" t="s">
        <v>30</v>
      </c>
      <c r="H8" s="12" t="str">
        <f>LEFT(A8, "2")</f>
        <v>19</v>
      </c>
      <c r="I8" s="18" t="str">
        <f>RIGHT(A8, "2")</f>
        <v>UK</v>
      </c>
      <c r="J8" s="12" t="str">
        <f>MID(A8, 4,3)</f>
        <v>JUL</v>
      </c>
    </row>
    <row r="9" spans="1:10" ht="15.75" customHeight="1" x14ac:dyDescent="0.25">
      <c r="A9" s="13" t="s">
        <v>48</v>
      </c>
      <c r="B9" s="14" t="s">
        <v>49</v>
      </c>
      <c r="C9" s="14" t="s">
        <v>50</v>
      </c>
      <c r="D9" s="11" t="str">
        <f>IF(E9&gt;=500, "High price", "Standard Price")</f>
        <v>Standard Price</v>
      </c>
      <c r="E9" s="14">
        <v>90</v>
      </c>
      <c r="F9" s="14">
        <v>35</v>
      </c>
      <c r="G9" s="14" t="s">
        <v>34</v>
      </c>
      <c r="H9" s="12" t="str">
        <f>LEFT(A9, "2")</f>
        <v>23</v>
      </c>
      <c r="I9" s="18" t="str">
        <f>RIGHT(A9, "2")</f>
        <v>UK</v>
      </c>
      <c r="J9" s="12" t="str">
        <f>MID(A9, 4,3)</f>
        <v>AUG</v>
      </c>
    </row>
    <row r="10" spans="1:10" ht="15.75" customHeight="1" x14ac:dyDescent="0.25">
      <c r="A10" s="9" t="s">
        <v>51</v>
      </c>
      <c r="B10" s="10" t="s">
        <v>52</v>
      </c>
      <c r="C10" s="10" t="s">
        <v>53</v>
      </c>
      <c r="D10" s="11" t="str">
        <f>IF(E10&gt;=500, "High price", "Standard Price")</f>
        <v>High price</v>
      </c>
      <c r="E10" s="10">
        <v>500</v>
      </c>
      <c r="F10" s="10">
        <v>50</v>
      </c>
      <c r="G10" s="10" t="s">
        <v>26</v>
      </c>
      <c r="H10" s="12" t="str">
        <f>LEFT(A10, "2")</f>
        <v>05</v>
      </c>
      <c r="I10" s="18" t="str">
        <f>RIGHT(A10, "2")</f>
        <v>UK</v>
      </c>
      <c r="J10" s="12" t="str">
        <f>MID(A10, 4,3)</f>
        <v>SEP</v>
      </c>
    </row>
    <row r="11" spans="1:10" ht="15.75" customHeight="1" x14ac:dyDescent="0.25">
      <c r="A11" s="13" t="s">
        <v>54</v>
      </c>
      <c r="B11" s="14" t="s">
        <v>55</v>
      </c>
      <c r="C11" s="14" t="s">
        <v>56</v>
      </c>
      <c r="D11" s="11" t="str">
        <f>IF(E11&gt;=500, "High price", "Standard Price")</f>
        <v>Standard Price</v>
      </c>
      <c r="E11" s="14">
        <v>130</v>
      </c>
      <c r="F11" s="14">
        <v>10</v>
      </c>
      <c r="G11" s="14" t="s">
        <v>41</v>
      </c>
      <c r="H11" s="12" t="str">
        <f>LEFT(A11, "2")</f>
        <v>14</v>
      </c>
      <c r="I11" s="18" t="str">
        <f>RIGHT(A11, "2")</f>
        <v>UK</v>
      </c>
      <c r="J11" s="12" t="str">
        <f>MID(A11, 4,3)</f>
        <v>OCT</v>
      </c>
    </row>
    <row r="12" spans="1:10" ht="15.75" customHeight="1" x14ac:dyDescent="0.25">
      <c r="A12" s="9" t="s">
        <v>57</v>
      </c>
      <c r="B12" s="10" t="s">
        <v>24</v>
      </c>
      <c r="C12" s="10" t="s">
        <v>58</v>
      </c>
      <c r="D12" s="11" t="str">
        <f>IF(E12&gt;=500, "High price", "Standard Price")</f>
        <v>High price</v>
      </c>
      <c r="E12" s="10">
        <v>950</v>
      </c>
      <c r="F12" s="10">
        <v>25</v>
      </c>
      <c r="G12" s="10" t="s">
        <v>26</v>
      </c>
      <c r="H12" s="12" t="str">
        <f>LEFT(A12, "2")</f>
        <v>17</v>
      </c>
      <c r="I12" s="18" t="str">
        <f>RIGHT(A12, "2")</f>
        <v>IN</v>
      </c>
      <c r="J12" s="12" t="str">
        <f>MID(A12, 4,3)</f>
        <v>JUN</v>
      </c>
    </row>
    <row r="13" spans="1:10" ht="15.75" customHeight="1" x14ac:dyDescent="0.25">
      <c r="A13" s="13" t="s">
        <v>59</v>
      </c>
      <c r="B13" s="14" t="s">
        <v>28</v>
      </c>
      <c r="C13" s="14" t="s">
        <v>47</v>
      </c>
      <c r="D13" s="11" t="str">
        <f>IF(E13&gt;=500, "High price", "Standard Price")</f>
        <v>Standard Price</v>
      </c>
      <c r="E13" s="14">
        <v>90</v>
      </c>
      <c r="F13" s="14">
        <v>40</v>
      </c>
      <c r="G13" s="14" t="s">
        <v>30</v>
      </c>
      <c r="H13" s="12" t="str">
        <f>LEFT(A13, "2")</f>
        <v>25</v>
      </c>
      <c r="I13" s="18" t="str">
        <f>RIGHT(A13, "2")</f>
        <v>AU</v>
      </c>
      <c r="J13" s="12" t="str">
        <f>MID(A13, 4,3)</f>
        <v>NOV</v>
      </c>
    </row>
    <row r="14" spans="1:10" ht="15.75" customHeight="1" x14ac:dyDescent="0.25">
      <c r="A14" s="9" t="s">
        <v>60</v>
      </c>
      <c r="B14" s="10" t="s">
        <v>32</v>
      </c>
      <c r="C14" s="10" t="s">
        <v>61</v>
      </c>
      <c r="D14" s="11" t="str">
        <f>IF(E14&gt;=500, "High price", "Standard Price")</f>
        <v>Standard Price</v>
      </c>
      <c r="E14" s="10">
        <v>120</v>
      </c>
      <c r="F14" s="10">
        <v>35</v>
      </c>
      <c r="G14" s="10" t="s">
        <v>34</v>
      </c>
      <c r="H14" s="12" t="str">
        <f>LEFT(A14, "2")</f>
        <v>08</v>
      </c>
      <c r="I14" s="18" t="str">
        <f>RIGHT(A14, "2")</f>
        <v>DE</v>
      </c>
      <c r="J14" s="12" t="str">
        <f>MID(A14, 4,3)</f>
        <v>DEC</v>
      </c>
    </row>
    <row r="15" spans="1:10" ht="15.75" customHeight="1" x14ac:dyDescent="0.25">
      <c r="A15" s="13" t="s">
        <v>62</v>
      </c>
      <c r="B15" s="14" t="s">
        <v>63</v>
      </c>
      <c r="C15" s="14" t="s">
        <v>64</v>
      </c>
      <c r="D15" s="11" t="str">
        <f>IF(E15&gt;=500, "High price", "Standard Price")</f>
        <v>Standard Price</v>
      </c>
      <c r="E15" s="14">
        <v>150</v>
      </c>
      <c r="F15" s="14">
        <v>15</v>
      </c>
      <c r="G15" s="14" t="s">
        <v>26</v>
      </c>
      <c r="H15" s="12" t="str">
        <f>LEFT(A15, "2")</f>
        <v>18</v>
      </c>
      <c r="I15" s="18" t="str">
        <f>RIGHT(A15, "2")</f>
        <v>CA</v>
      </c>
      <c r="J15" s="12" t="str">
        <f>MID(A15, 4,3)</f>
        <v>FEB</v>
      </c>
    </row>
    <row r="16" spans="1:10" ht="15.75" customHeight="1" x14ac:dyDescent="0.25">
      <c r="A16" s="9" t="s">
        <v>65</v>
      </c>
      <c r="B16" s="10" t="s">
        <v>43</v>
      </c>
      <c r="C16" s="10" t="s">
        <v>66</v>
      </c>
      <c r="D16" s="11" t="str">
        <f>IF(E16&gt;=500, "High price", "Standard Price")</f>
        <v>Standard Price</v>
      </c>
      <c r="E16" s="10">
        <v>250</v>
      </c>
      <c r="F16" s="10">
        <v>20</v>
      </c>
      <c r="G16" s="10" t="s">
        <v>26</v>
      </c>
      <c r="H16" s="12" t="str">
        <f>LEFT(A16, "2")</f>
        <v>16</v>
      </c>
      <c r="I16" s="18" t="str">
        <f>RIGHT(A16, "2")</f>
        <v>ES</v>
      </c>
      <c r="J16" s="12" t="str">
        <f>MID(A16, 4,3)</f>
        <v>APR</v>
      </c>
    </row>
    <row r="17" spans="1:10" ht="15.75" customHeight="1" x14ac:dyDescent="0.25">
      <c r="A17" s="13" t="s">
        <v>67</v>
      </c>
      <c r="B17" s="14" t="s">
        <v>68</v>
      </c>
      <c r="C17" s="14" t="s">
        <v>69</v>
      </c>
      <c r="D17" s="11" t="str">
        <f>IF(E17&gt;=500, "High price", "Standard Price")</f>
        <v>Standard Price</v>
      </c>
      <c r="E17" s="14">
        <v>50</v>
      </c>
      <c r="F17" s="14">
        <v>35</v>
      </c>
      <c r="G17" s="14" t="s">
        <v>70</v>
      </c>
      <c r="H17" s="12" t="str">
        <f>LEFT(A17, "2")</f>
        <v>21</v>
      </c>
      <c r="I17" s="18" t="str">
        <f>RIGHT(A17, "2")</f>
        <v>CA</v>
      </c>
      <c r="J17" s="12" t="str">
        <f>MID(A17, 4,3)</f>
        <v>AUG</v>
      </c>
    </row>
    <row r="18" spans="1:10" ht="15.75" customHeight="1" x14ac:dyDescent="0.25">
      <c r="A18" s="9" t="s">
        <v>71</v>
      </c>
      <c r="B18" s="10" t="s">
        <v>63</v>
      </c>
      <c r="C18" s="10" t="s">
        <v>72</v>
      </c>
      <c r="D18" s="11" t="str">
        <f>IF(E18&gt;=500, "High price", "Standard Price")</f>
        <v>Standard Price</v>
      </c>
      <c r="E18" s="10">
        <v>160</v>
      </c>
      <c r="F18" s="10">
        <v>15</v>
      </c>
      <c r="G18" s="10" t="s">
        <v>26</v>
      </c>
      <c r="H18" s="12" t="str">
        <f>LEFT(A18, "2")</f>
        <v>20</v>
      </c>
      <c r="I18" s="18" t="str">
        <f>RIGHT(A18, "2")</f>
        <v>CN</v>
      </c>
      <c r="J18" s="12" t="str">
        <f>MID(A18, 4,3)</f>
        <v>AUG</v>
      </c>
    </row>
    <row r="19" spans="1:10" ht="15.75" customHeight="1" x14ac:dyDescent="0.25">
      <c r="A19" s="13" t="s">
        <v>73</v>
      </c>
      <c r="B19" s="14" t="s">
        <v>24</v>
      </c>
      <c r="C19" s="14" t="s">
        <v>74</v>
      </c>
      <c r="D19" s="11" t="str">
        <f>IF(E19&gt;=500, "High price", "Standard Price")</f>
        <v>High price</v>
      </c>
      <c r="E19" s="14">
        <v>980</v>
      </c>
      <c r="F19" s="14">
        <v>10</v>
      </c>
      <c r="G19" s="14" t="s">
        <v>26</v>
      </c>
      <c r="H19" s="12" t="str">
        <f>LEFT(A19, "2")</f>
        <v>27</v>
      </c>
      <c r="I19" s="18" t="str">
        <f>RIGHT(A19, "2")</f>
        <v>IT</v>
      </c>
      <c r="J19" s="12" t="str">
        <f>MID(A19, 4,3)</f>
        <v>JAN</v>
      </c>
    </row>
    <row r="20" spans="1:10" ht="15.75" customHeight="1" x14ac:dyDescent="0.25">
      <c r="A20" s="9" t="s">
        <v>75</v>
      </c>
      <c r="B20" s="10" t="s">
        <v>76</v>
      </c>
      <c r="C20" s="10" t="s">
        <v>77</v>
      </c>
      <c r="D20" s="11" t="str">
        <f>IF(E20&gt;=500, "High price", "Standard Price")</f>
        <v>Standard Price</v>
      </c>
      <c r="E20" s="10">
        <v>150</v>
      </c>
      <c r="F20" s="10">
        <v>15</v>
      </c>
      <c r="G20" s="10" t="s">
        <v>30</v>
      </c>
      <c r="H20" s="12" t="str">
        <f>LEFT(A20, "2")</f>
        <v>01</v>
      </c>
      <c r="I20" s="18" t="str">
        <f>RIGHT(A20, "2")</f>
        <v>UK</v>
      </c>
      <c r="J20" s="12" t="str">
        <f>MID(A20, 4,3)</f>
        <v>MAR</v>
      </c>
    </row>
    <row r="21" spans="1:10" ht="15.75" customHeight="1" x14ac:dyDescent="0.25">
      <c r="A21" s="13" t="s">
        <v>78</v>
      </c>
      <c r="B21" s="14" t="s">
        <v>79</v>
      </c>
      <c r="C21" s="14" t="s">
        <v>80</v>
      </c>
      <c r="D21" s="11" t="str">
        <f>IF(E21&gt;=500, "High price", "Standard Price")</f>
        <v>Standard Price</v>
      </c>
      <c r="E21" s="14">
        <v>200</v>
      </c>
      <c r="F21" s="14">
        <v>10</v>
      </c>
      <c r="G21" s="14" t="s">
        <v>41</v>
      </c>
      <c r="H21" s="12" t="str">
        <f>LEFT(A21, "2")</f>
        <v>14</v>
      </c>
      <c r="I21" s="18" t="str">
        <f>RIGHT(A21, "2")</f>
        <v>US</v>
      </c>
      <c r="J21" s="12" t="str">
        <f>MID(A21, 4,3)</f>
        <v>AUG</v>
      </c>
    </row>
    <row r="22" spans="1:10" ht="15.75" customHeight="1" x14ac:dyDescent="0.25">
      <c r="A22" s="9" t="s">
        <v>81</v>
      </c>
      <c r="B22" s="10" t="s">
        <v>82</v>
      </c>
      <c r="C22" s="10" t="s">
        <v>83</v>
      </c>
      <c r="D22" s="11" t="str">
        <f>IF(E22&gt;=500, "High price", "Standard Price")</f>
        <v>High price</v>
      </c>
      <c r="E22" s="10">
        <v>700</v>
      </c>
      <c r="F22" s="10">
        <v>50</v>
      </c>
      <c r="G22" s="10" t="s">
        <v>26</v>
      </c>
      <c r="H22" s="12" t="str">
        <f>LEFT(A22, "2")</f>
        <v>14</v>
      </c>
      <c r="I22" s="18" t="str">
        <f>RIGHT(A22, "2")</f>
        <v>RU</v>
      </c>
      <c r="J22" s="12" t="str">
        <f>MID(A22, 4,3)</f>
        <v>MAY</v>
      </c>
    </row>
    <row r="23" spans="1:10" ht="15.75" customHeight="1" x14ac:dyDescent="0.25">
      <c r="A23" s="13" t="s">
        <v>84</v>
      </c>
      <c r="B23" s="14" t="s">
        <v>85</v>
      </c>
      <c r="C23" s="14" t="s">
        <v>86</v>
      </c>
      <c r="D23" s="11" t="str">
        <f>IF(E23&gt;=500, "High price", "Standard Price")</f>
        <v>Standard Price</v>
      </c>
      <c r="E23" s="14">
        <v>80</v>
      </c>
      <c r="F23" s="14">
        <v>20</v>
      </c>
      <c r="G23" s="14" t="s">
        <v>34</v>
      </c>
      <c r="H23" s="12" t="str">
        <f>LEFT(A23, "2")</f>
        <v>09</v>
      </c>
      <c r="I23" s="18" t="str">
        <f>RIGHT(A23, "2")</f>
        <v>CA</v>
      </c>
      <c r="J23" s="12" t="str">
        <f>MID(A23, 4,3)</f>
        <v>JAN</v>
      </c>
    </row>
    <row r="24" spans="1:10" ht="15.75" customHeight="1" x14ac:dyDescent="0.25">
      <c r="A24" s="9" t="s">
        <v>87</v>
      </c>
      <c r="B24" s="10" t="s">
        <v>88</v>
      </c>
      <c r="C24" s="10" t="s">
        <v>89</v>
      </c>
      <c r="D24" s="11" t="str">
        <f>IF(E24&gt;=500, "High price", "Standard Price")</f>
        <v>Standard Price</v>
      </c>
      <c r="E24" s="10">
        <v>150</v>
      </c>
      <c r="F24" s="10">
        <v>30</v>
      </c>
      <c r="G24" s="10" t="s">
        <v>26</v>
      </c>
      <c r="H24" s="12" t="str">
        <f>LEFT(A24, "2")</f>
        <v>19</v>
      </c>
      <c r="I24" s="18" t="str">
        <f>RIGHT(A24, "2")</f>
        <v>BR</v>
      </c>
      <c r="J24" s="12" t="str">
        <f>MID(A24, 4,3)</f>
        <v>JUL</v>
      </c>
    </row>
    <row r="25" spans="1:10" ht="15.75" customHeight="1" x14ac:dyDescent="0.25">
      <c r="A25" s="9" t="s">
        <v>90</v>
      </c>
      <c r="B25" s="10" t="s">
        <v>36</v>
      </c>
      <c r="C25" s="10" t="s">
        <v>91</v>
      </c>
      <c r="D25" s="11" t="str">
        <f>IF(E25&gt;=500, "High price", "Standard Price")</f>
        <v>High price</v>
      </c>
      <c r="E25" s="10">
        <v>800</v>
      </c>
      <c r="F25" s="10">
        <v>45</v>
      </c>
      <c r="G25" s="10" t="s">
        <v>26</v>
      </c>
      <c r="H25" s="12" t="str">
        <f>LEFT(A25, "2")</f>
        <v>29</v>
      </c>
      <c r="I25" s="18" t="str">
        <f>RIGHT(A25, "2")</f>
        <v>CA</v>
      </c>
      <c r="J25" s="12" t="str">
        <f>MID(A25, 4,3)</f>
        <v>SEP</v>
      </c>
    </row>
    <row r="26" spans="1:10" ht="15.75" customHeight="1" x14ac:dyDescent="0.25">
      <c r="A26" s="13" t="s">
        <v>92</v>
      </c>
      <c r="B26" s="14" t="s">
        <v>76</v>
      </c>
      <c r="C26" s="14" t="s">
        <v>93</v>
      </c>
      <c r="D26" s="11" t="str">
        <f>IF(E26&gt;=500, "High price", "Standard Price")</f>
        <v>Standard Price</v>
      </c>
      <c r="E26" s="14">
        <v>130</v>
      </c>
      <c r="F26" s="14">
        <v>25</v>
      </c>
      <c r="G26" s="14" t="s">
        <v>30</v>
      </c>
      <c r="H26" s="12" t="str">
        <f>LEFT(A26, "2")</f>
        <v>03</v>
      </c>
      <c r="I26" s="18" t="str">
        <f>RIGHT(A26, "2")</f>
        <v>CA</v>
      </c>
      <c r="J26" s="12" t="str">
        <f>MID(A26, 4,3)</f>
        <v>JUN</v>
      </c>
    </row>
    <row r="27" spans="1:10" ht="15.75" customHeight="1" x14ac:dyDescent="0.25">
      <c r="A27" s="9" t="s">
        <v>94</v>
      </c>
      <c r="B27" s="10" t="s">
        <v>49</v>
      </c>
      <c r="C27" s="10" t="s">
        <v>95</v>
      </c>
      <c r="D27" s="11" t="str">
        <f>IF(E27&gt;=500, "High price", "Standard Price")</f>
        <v>Standard Price</v>
      </c>
      <c r="E27" s="10">
        <v>400</v>
      </c>
      <c r="F27" s="10">
        <v>40</v>
      </c>
      <c r="G27" s="10" t="s">
        <v>34</v>
      </c>
      <c r="H27" s="12" t="str">
        <f>LEFT(A27, "2")</f>
        <v>11</v>
      </c>
      <c r="I27" s="18" t="str">
        <f>RIGHT(A27, "2")</f>
        <v>CA</v>
      </c>
      <c r="J27" s="12" t="str">
        <f>MID(A27, 4,3)</f>
        <v>JUL</v>
      </c>
    </row>
    <row r="28" spans="1:10" ht="15.75" customHeight="1" x14ac:dyDescent="0.25">
      <c r="A28" s="13" t="s">
        <v>65</v>
      </c>
      <c r="B28" s="14" t="s">
        <v>43</v>
      </c>
      <c r="C28" s="14" t="s">
        <v>66</v>
      </c>
      <c r="D28" s="11" t="str">
        <f>IF(E28&gt;=500, "High price", "Standard Price")</f>
        <v>Standard Price</v>
      </c>
      <c r="E28" s="14">
        <v>230</v>
      </c>
      <c r="F28" s="14">
        <v>20</v>
      </c>
      <c r="G28" s="14" t="s">
        <v>26</v>
      </c>
      <c r="H28" s="12" t="str">
        <f>LEFT(A28, "2")</f>
        <v>16</v>
      </c>
      <c r="I28" s="18" t="str">
        <f>RIGHT(A28, "2")</f>
        <v>ES</v>
      </c>
      <c r="J28" s="12" t="str">
        <f>MID(A28, 4,3)</f>
        <v>APR</v>
      </c>
    </row>
    <row r="29" spans="1:10" ht="15.75" customHeight="1" x14ac:dyDescent="0.25">
      <c r="A29" s="9" t="s">
        <v>96</v>
      </c>
      <c r="B29" s="10" t="s">
        <v>97</v>
      </c>
      <c r="C29" s="10" t="s">
        <v>98</v>
      </c>
      <c r="D29" s="11" t="str">
        <f>IF(E29&gt;=500, "High price", "Standard Price")</f>
        <v>Standard Price</v>
      </c>
      <c r="E29" s="10">
        <v>60</v>
      </c>
      <c r="F29" s="10">
        <v>30</v>
      </c>
      <c r="G29" s="10" t="s">
        <v>30</v>
      </c>
      <c r="H29" s="12" t="str">
        <f>LEFT(A29, "2")</f>
        <v>07</v>
      </c>
      <c r="I29" s="18" t="str">
        <f>RIGHT(A29, "2")</f>
        <v>CA</v>
      </c>
      <c r="J29" s="12" t="str">
        <f>MID(A29, 4,3)</f>
        <v>MAR</v>
      </c>
    </row>
    <row r="30" spans="1:10" ht="15.75" customHeight="1" x14ac:dyDescent="0.25">
      <c r="A30" s="13" t="s">
        <v>99</v>
      </c>
      <c r="B30" s="14" t="s">
        <v>100</v>
      </c>
      <c r="C30" s="14" t="s">
        <v>101</v>
      </c>
      <c r="D30" s="11" t="str">
        <f>IF(E30&gt;=500, "High price", "Standard Price")</f>
        <v>Standard Price</v>
      </c>
      <c r="E30" s="14">
        <v>40</v>
      </c>
      <c r="F30" s="14">
        <v>10</v>
      </c>
      <c r="G30" s="14" t="s">
        <v>34</v>
      </c>
      <c r="H30" s="12" t="str">
        <f>LEFT(A30, "2")</f>
        <v>13</v>
      </c>
      <c r="I30" s="18" t="str">
        <f>RIGHT(A30, "2")</f>
        <v>CA</v>
      </c>
      <c r="J30" s="12" t="str">
        <f>MID(A30, 4,3)</f>
        <v>APR</v>
      </c>
    </row>
    <row r="31" spans="1:10" ht="15.75" customHeight="1" x14ac:dyDescent="0.25">
      <c r="A31" s="9" t="s">
        <v>102</v>
      </c>
      <c r="B31" s="10" t="s">
        <v>88</v>
      </c>
      <c r="C31" s="10" t="s">
        <v>103</v>
      </c>
      <c r="D31" s="11" t="str">
        <f>IF(E31&gt;=500, "High price", "Standard Price")</f>
        <v>Standard Price</v>
      </c>
      <c r="E31" s="10">
        <v>130</v>
      </c>
      <c r="F31" s="10">
        <v>5</v>
      </c>
      <c r="G31" s="10" t="s">
        <v>26</v>
      </c>
      <c r="H31" s="12" t="str">
        <f>LEFT(A31, "2")</f>
        <v>24</v>
      </c>
      <c r="I31" s="18" t="str">
        <f>RIGHT(A31, "2")</f>
        <v>CA</v>
      </c>
      <c r="J31" s="12" t="str">
        <f>MID(A31, 4,3)</f>
        <v>MAY</v>
      </c>
    </row>
    <row r="32" spans="1:10" ht="15.75" customHeight="1" x14ac:dyDescent="0.25">
      <c r="A32" s="13" t="s">
        <v>104</v>
      </c>
      <c r="B32" s="14" t="s">
        <v>105</v>
      </c>
      <c r="C32" s="14" t="s">
        <v>106</v>
      </c>
      <c r="D32" s="11" t="str">
        <f>IF(E32&gt;=500, "High price", "Standard Price")</f>
        <v>Standard Price</v>
      </c>
      <c r="E32" s="14">
        <v>50</v>
      </c>
      <c r="F32" s="14">
        <v>50</v>
      </c>
      <c r="G32" s="14" t="s">
        <v>30</v>
      </c>
      <c r="H32" s="12" t="str">
        <f>LEFT(A32, "2")</f>
        <v>02</v>
      </c>
      <c r="I32" s="18" t="str">
        <f>RIGHT(A32, "2")</f>
        <v>CA</v>
      </c>
      <c r="J32" s="12" t="str">
        <f>MID(A32, 4,3)</f>
        <v>DEC</v>
      </c>
    </row>
    <row r="33" spans="1:10" ht="15.75" customHeight="1" x14ac:dyDescent="0.25">
      <c r="A33" s="13" t="s">
        <v>107</v>
      </c>
      <c r="B33" s="14" t="s">
        <v>108</v>
      </c>
      <c r="C33" s="14" t="s">
        <v>109</v>
      </c>
      <c r="D33" s="11" t="str">
        <f>IF(E33&gt;=500, "High price", "Standard Price")</f>
        <v>Standard Price</v>
      </c>
      <c r="E33" s="14">
        <v>100</v>
      </c>
      <c r="F33" s="14">
        <v>20</v>
      </c>
      <c r="G33" s="14" t="s">
        <v>70</v>
      </c>
      <c r="H33" s="12" t="str">
        <f>LEFT(A33, "2")</f>
        <v>09</v>
      </c>
      <c r="I33" s="18" t="str">
        <f>RIGHT(A33, "2")</f>
        <v>FR</v>
      </c>
      <c r="J33" s="12" t="str">
        <f>MID(A33, 4,3)</f>
        <v>JUL</v>
      </c>
    </row>
    <row r="34" spans="1:10" ht="15.75" customHeight="1" x14ac:dyDescent="0.25">
      <c r="A34" s="15"/>
      <c r="B34" s="16"/>
      <c r="C34" s="16"/>
      <c r="D34" s="17"/>
      <c r="F34" s="16"/>
      <c r="G34" s="16"/>
      <c r="H34" s="33"/>
      <c r="I34" s="33"/>
      <c r="J34" s="33"/>
    </row>
    <row r="35" spans="1:10" ht="15.75" customHeight="1" x14ac:dyDescent="0.25"/>
    <row r="36" spans="1:1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1C61-0904-4C85-8D49-957B8B78ED1F}">
  <dimension ref="A3:D31"/>
  <sheetViews>
    <sheetView tabSelected="1" topLeftCell="A10" workbookViewId="0">
      <selection activeCell="M21" sqref="M21"/>
    </sheetView>
  </sheetViews>
  <sheetFormatPr defaultRowHeight="12.5" x14ac:dyDescent="0.25"/>
  <cols>
    <col min="1" max="1" width="8.6328125" bestFit="1" customWidth="1"/>
    <col min="2" max="2" width="24.81640625" bestFit="1" customWidth="1"/>
    <col min="3" max="3" width="26.90625" bestFit="1" customWidth="1"/>
    <col min="4" max="4" width="9.90625" bestFit="1" customWidth="1"/>
  </cols>
  <sheetData>
    <row r="3" spans="1:4" ht="22.5" x14ac:dyDescent="0.45">
      <c r="A3" s="37" t="s">
        <v>115</v>
      </c>
      <c r="B3" s="37"/>
      <c r="C3" s="37"/>
    </row>
    <row r="4" spans="1:4" ht="22.5" x14ac:dyDescent="0.45">
      <c r="A4" s="21" t="s">
        <v>111</v>
      </c>
      <c r="B4" s="21" t="s">
        <v>114</v>
      </c>
      <c r="C4" s="21" t="s">
        <v>123</v>
      </c>
    </row>
    <row r="5" spans="1:4" ht="23" x14ac:dyDescent="0.5">
      <c r="A5" s="34">
        <v>1</v>
      </c>
      <c r="B5" s="36" t="s">
        <v>110</v>
      </c>
      <c r="C5" s="20">
        <v>9100</v>
      </c>
    </row>
    <row r="6" spans="1:4" ht="23" x14ac:dyDescent="0.5">
      <c r="A6" s="34">
        <v>2</v>
      </c>
      <c r="B6" s="36" t="s">
        <v>112</v>
      </c>
      <c r="C6" s="20">
        <v>32</v>
      </c>
    </row>
    <row r="7" spans="1:4" ht="23" x14ac:dyDescent="0.5">
      <c r="A7" s="34">
        <v>3</v>
      </c>
      <c r="B7" s="36" t="s">
        <v>113</v>
      </c>
      <c r="C7" s="35">
        <v>284.38</v>
      </c>
    </row>
    <row r="9" spans="1:4" ht="23" customHeight="1" x14ac:dyDescent="0.45">
      <c r="A9" s="38" t="s">
        <v>116</v>
      </c>
      <c r="B9" s="39"/>
      <c r="C9" s="39"/>
      <c r="D9" s="40"/>
    </row>
    <row r="10" spans="1:4" s="23" customFormat="1" ht="22.5" x14ac:dyDescent="0.45">
      <c r="A10" s="22" t="s">
        <v>111</v>
      </c>
      <c r="B10" s="22" t="s">
        <v>114</v>
      </c>
      <c r="C10" s="22" t="s">
        <v>18</v>
      </c>
      <c r="D10" s="22" t="s">
        <v>123</v>
      </c>
    </row>
    <row r="11" spans="1:4" ht="23" x14ac:dyDescent="0.5">
      <c r="A11" s="20">
        <v>1</v>
      </c>
      <c r="B11" s="20" t="s">
        <v>117</v>
      </c>
      <c r="C11" s="20" t="s">
        <v>47</v>
      </c>
      <c r="D11" s="20" t="s">
        <v>119</v>
      </c>
    </row>
    <row r="12" spans="1:4" ht="23" x14ac:dyDescent="0.5">
      <c r="A12" s="20">
        <v>2</v>
      </c>
      <c r="B12" s="20" t="s">
        <v>118</v>
      </c>
      <c r="C12" s="20" t="s">
        <v>25</v>
      </c>
      <c r="D12" s="20" t="s">
        <v>120</v>
      </c>
    </row>
    <row r="14" spans="1:4" ht="22.5" x14ac:dyDescent="0.45">
      <c r="A14" s="37" t="s">
        <v>122</v>
      </c>
      <c r="B14" s="37"/>
      <c r="C14" s="37"/>
    </row>
    <row r="15" spans="1:4" s="23" customFormat="1" ht="22.5" x14ac:dyDescent="0.45">
      <c r="A15" s="22" t="s">
        <v>111</v>
      </c>
      <c r="B15" s="26" t="s">
        <v>114</v>
      </c>
      <c r="C15" s="26" t="s">
        <v>126</v>
      </c>
    </row>
    <row r="16" spans="1:4" ht="23" x14ac:dyDescent="0.5">
      <c r="A16" s="24">
        <v>1</v>
      </c>
      <c r="B16" s="28" t="s">
        <v>125</v>
      </c>
      <c r="C16" s="30" t="s">
        <v>127</v>
      </c>
    </row>
    <row r="17" spans="1:3" ht="23" x14ac:dyDescent="0.5">
      <c r="A17" s="24"/>
      <c r="B17" s="29" t="s">
        <v>124</v>
      </c>
      <c r="C17" s="31" t="s">
        <v>128</v>
      </c>
    </row>
    <row r="18" spans="1:3" ht="23" x14ac:dyDescent="0.5">
      <c r="A18" s="24"/>
      <c r="B18" s="27"/>
      <c r="C18" s="32" t="s">
        <v>129</v>
      </c>
    </row>
    <row r="20" spans="1:3" ht="22.5" x14ac:dyDescent="0.45">
      <c r="A20" s="37" t="s">
        <v>130</v>
      </c>
      <c r="B20" s="37"/>
      <c r="C20" s="37"/>
    </row>
    <row r="21" spans="1:3" s="23" customFormat="1" ht="22.5" x14ac:dyDescent="0.45">
      <c r="A21" s="22" t="s">
        <v>111</v>
      </c>
      <c r="B21" s="22" t="s">
        <v>114</v>
      </c>
      <c r="C21" s="22" t="s">
        <v>126</v>
      </c>
    </row>
    <row r="22" spans="1:3" ht="23" x14ac:dyDescent="0.5">
      <c r="A22" s="24">
        <v>1</v>
      </c>
      <c r="B22" s="28" t="s">
        <v>132</v>
      </c>
      <c r="C22" s="25">
        <f>SUMIF(Dataset!G2:G33, "Electronics",Dataset!E2:E33)</f>
        <v>7100</v>
      </c>
    </row>
    <row r="23" spans="1:3" ht="23" x14ac:dyDescent="0.5">
      <c r="A23" s="24"/>
      <c r="B23" s="29" t="s">
        <v>131</v>
      </c>
      <c r="C23" s="25"/>
    </row>
    <row r="24" spans="1:3" ht="23" x14ac:dyDescent="0.5">
      <c r="A24" s="24">
        <v>2</v>
      </c>
      <c r="B24" s="28" t="s">
        <v>133</v>
      </c>
      <c r="C24" s="25">
        <f>COUNTIF(Dataset!E2:E33, "&lt;100")</f>
        <v>10</v>
      </c>
    </row>
    <row r="25" spans="1:3" ht="23" x14ac:dyDescent="0.5">
      <c r="A25" s="24"/>
      <c r="B25" s="27" t="s">
        <v>134</v>
      </c>
      <c r="C25" s="25"/>
    </row>
    <row r="27" spans="1:3" ht="22.5" x14ac:dyDescent="0.45">
      <c r="A27" s="37" t="s">
        <v>135</v>
      </c>
      <c r="B27" s="37"/>
      <c r="C27" s="37"/>
    </row>
    <row r="28" spans="1:3" s="23" customFormat="1" ht="22.5" x14ac:dyDescent="0.45">
      <c r="A28" s="22" t="s">
        <v>139</v>
      </c>
      <c r="B28" s="22" t="s">
        <v>140</v>
      </c>
      <c r="C28" s="22" t="s">
        <v>123</v>
      </c>
    </row>
    <row r="29" spans="1:3" ht="23" x14ac:dyDescent="0.5">
      <c r="A29" s="20">
        <v>1</v>
      </c>
      <c r="B29" s="20" t="s">
        <v>142</v>
      </c>
      <c r="C29" s="20" t="s">
        <v>141</v>
      </c>
    </row>
    <row r="30" spans="1:3" ht="23" x14ac:dyDescent="0.5">
      <c r="A30" s="20">
        <v>2</v>
      </c>
      <c r="B30" s="20" t="s">
        <v>143</v>
      </c>
      <c r="C30" s="20" t="s">
        <v>141</v>
      </c>
    </row>
    <row r="31" spans="1:3" ht="23" x14ac:dyDescent="0.5">
      <c r="A31" s="20">
        <v>3</v>
      </c>
      <c r="B31" s="20" t="s">
        <v>144</v>
      </c>
      <c r="C31" s="20" t="s">
        <v>141</v>
      </c>
    </row>
  </sheetData>
  <mergeCells count="5">
    <mergeCell ref="A3:C3"/>
    <mergeCell ref="A14:C14"/>
    <mergeCell ref="A20:C20"/>
    <mergeCell ref="A27:C27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NAVEENRAJ J</dc:creator>
  <cp:lastModifiedBy>Navin0786_s@outlook.com</cp:lastModifiedBy>
  <dcterms:created xsi:type="dcterms:W3CDTF">2025-12-23T17:19:12Z</dcterms:created>
  <dcterms:modified xsi:type="dcterms:W3CDTF">2025-12-27T17:05:06Z</dcterms:modified>
</cp:coreProperties>
</file>